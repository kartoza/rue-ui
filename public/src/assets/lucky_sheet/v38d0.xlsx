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showInkAnnotation="0" autoCompressPictures="0"/>
  <mc:AlternateContent xmlns:mc="http://schemas.openxmlformats.org/markup-compatibility/2006">
    <mc:Choice Requires="x15">
      <x15ac:absPath xmlns:x15ac="http://schemas.microsoft.com/office/spreadsheetml/2010/11/ac" url="/Users/matt/Library/CloudStorage/Box-Box/_Rapid Urbanism Group/2 Tools (techne)/2020-2021 Rapid Urbanism Explorer/2020 RUE03 (Patrick)/2 Financial model/"/>
    </mc:Choice>
  </mc:AlternateContent>
  <xr:revisionPtr revIDLastSave="0" documentId="13_ncr:1_{183F23E0-AE38-644E-A728-0BD14E6B4B42}" xr6:coauthVersionLast="47" xr6:coauthVersionMax="47" xr10:uidLastSave="{00000000-0000-0000-0000-000000000000}"/>
  <bookViews>
    <workbookView xWindow="0" yWindow="880" windowWidth="41120" windowHeight="25700" activeTab="1" xr2:uid="{35384D51-1915-CA46-BCF2-184364C58E6E}"/>
  </bookViews>
  <sheets>
    <sheet name="Guide" sheetId="37" r:id="rId1"/>
    <sheet name="Q" sheetId="29" r:id="rId2"/>
    <sheet name="1db" sheetId="65" r:id="rId3"/>
    <sheet name="2db" sheetId="36" r:id="rId4"/>
    <sheet name="3db" sheetId="62" r:id="rId5"/>
    <sheet name="4db" sheetId="64" r:id="rId6"/>
    <sheet name="5db" sheetId="68" r:id="rId7"/>
    <sheet name="6db" sheetId="72" r:id="rId8"/>
    <sheet name="spider" sheetId="69" r:id="rId9"/>
    <sheet name="Q_zeroed" sheetId="73" r:id="rId10"/>
    <sheet name="1off-site" sheetId="48" r:id="rId11"/>
    <sheet name="1site" sheetId="50" r:id="rId12"/>
    <sheet name="2neighborhood" sheetId="27" r:id="rId13"/>
    <sheet name="3cluster_artery" sheetId="47" r:id="rId14"/>
    <sheet name="3cluster_secondary" sheetId="57" r:id="rId15"/>
    <sheet name="3lcluster_local" sheetId="58" r:id="rId16"/>
    <sheet name="3lcluster_local_2level" sheetId="60" r:id="rId17"/>
    <sheet name="4buildings" sheetId="46" r:id="rId18"/>
    <sheet name="5dwellings" sheetId="71" r:id="rId19"/>
    <sheet name="5finance" sheetId="55" r:id="rId20"/>
    <sheet name="5rental" sheetId="74" r:id="rId21"/>
    <sheet name="5affordability" sheetId="61" r:id="rId22"/>
    <sheet name="6demographics" sheetId="67" r:id="rId23"/>
  </sheets>
  <definedNames>
    <definedName name="_xlnm.Print_Area" localSheetId="2">'1db'!#REF!</definedName>
    <definedName name="_xlnm.Print_Area" localSheetId="11">'1site'!$A$1:$G$1</definedName>
    <definedName name="_xlnm.Print_Area" localSheetId="3">'2db'!#REF!</definedName>
    <definedName name="_xlnm.Print_Area" localSheetId="12">'2neighborhood'!$B$1:$L$91</definedName>
    <definedName name="_xlnm.Print_Area" localSheetId="13">'3cluster_artery'!$A$1:$I$33</definedName>
    <definedName name="_xlnm.Print_Area" localSheetId="14">'3cluster_secondary'!$A$1:$I$69</definedName>
    <definedName name="_xlnm.Print_Area" localSheetId="4">'3db'!#REF!</definedName>
    <definedName name="_xlnm.Print_Area" localSheetId="15">'3lcluster_local'!$A$1:$I$49</definedName>
    <definedName name="_xlnm.Print_Area" localSheetId="16">'3lcluster_local_2level'!$A$1:$I$54</definedName>
    <definedName name="_xlnm.Print_Area" localSheetId="17">'4buildings'!$A$1:$I$36</definedName>
    <definedName name="_xlnm.Print_Area" localSheetId="5">'4db'!#REF!</definedName>
    <definedName name="_xlnm.Print_Area" localSheetId="21">'5affordability'!$C$1:$O$3</definedName>
    <definedName name="_xlnm.Print_Area" localSheetId="6">'5db'!#REF!</definedName>
    <definedName name="_xlnm.Print_Area" localSheetId="18">'5dwellings'!$A$1:$I$8</definedName>
    <definedName name="_xlnm.Print_Area" localSheetId="19">'5finance'!$A$1:$I$2</definedName>
    <definedName name="_xlnm.Print_Area" localSheetId="20">'5rental'!$A$1:$I$2</definedName>
    <definedName name="_xlnm.Print_Area" localSheetId="7">'6db'!#REF!</definedName>
    <definedName name="_xlnm.Print_Area" localSheetId="22">'6demographics'!$A$1:$I$2</definedName>
    <definedName name="_xlnm.Print_Area" localSheetId="0">Guide!#REF!</definedName>
    <definedName name="_xlnm.Print_Area" localSheetId="1">Q!#REF!</definedName>
    <definedName name="_xlnm.Print_Area" localSheetId="9">Q_zeroed!#REF!</definedName>
    <definedName name="_xlnm.Print_Area" localSheetId="8">spider!#REF!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H60" i="29" l="1"/>
  <c r="F60" i="29"/>
  <c r="D60" i="29"/>
  <c r="C60" i="29"/>
  <c r="C10" i="29" s="1"/>
  <c r="H59" i="29"/>
  <c r="G37" i="29"/>
  <c r="G36" i="29"/>
  <c r="E36" i="29"/>
  <c r="D36" i="29"/>
  <c r="C36" i="29"/>
  <c r="N35" i="29"/>
  <c r="P35" i="29" s="1"/>
  <c r="Q35" i="29" s="1"/>
  <c r="F35" i="29"/>
  <c r="N34" i="29"/>
  <c r="P34" i="29" s="1"/>
  <c r="Q34" i="29" s="1"/>
  <c r="F34" i="29"/>
  <c r="F36" i="29" s="1"/>
  <c r="N33" i="29"/>
  <c r="N36" i="29" s="1"/>
  <c r="F33" i="29"/>
  <c r="O31" i="29"/>
  <c r="O32" i="29" s="1"/>
  <c r="O37" i="29" s="1"/>
  <c r="N31" i="29"/>
  <c r="M31" i="29"/>
  <c r="L31" i="29"/>
  <c r="K31" i="29"/>
  <c r="K32" i="29" s="1"/>
  <c r="K37" i="29" s="1"/>
  <c r="J31" i="29"/>
  <c r="I31" i="29"/>
  <c r="I32" i="29" s="1"/>
  <c r="I37" i="29" s="1"/>
  <c r="H31" i="29"/>
  <c r="H32" i="29" s="1"/>
  <c r="H37" i="29" s="1"/>
  <c r="AT30" i="29"/>
  <c r="AK30" i="29"/>
  <c r="AI30" i="29"/>
  <c r="AE30" i="29"/>
  <c r="AG30" i="29" s="1"/>
  <c r="AD30" i="29"/>
  <c r="AS30" i="29" s="1"/>
  <c r="AC30" i="29"/>
  <c r="AB30" i="29"/>
  <c r="Y30" i="29"/>
  <c r="AA30" i="29" s="1"/>
  <c r="AM30" i="29" s="1"/>
  <c r="V30" i="29"/>
  <c r="N30" i="29"/>
  <c r="P30" i="29" s="1"/>
  <c r="Q30" i="29" s="1"/>
  <c r="AT29" i="29"/>
  <c r="AQ29" i="29"/>
  <c r="AP29" i="29"/>
  <c r="AO29" i="29"/>
  <c r="AK29" i="29"/>
  <c r="AG29" i="29"/>
  <c r="AR29" i="29" s="1"/>
  <c r="AF29" i="29"/>
  <c r="AE29" i="29"/>
  <c r="AC29" i="29"/>
  <c r="AB29" i="29"/>
  <c r="Z29" i="29"/>
  <c r="Y29" i="29"/>
  <c r="W29" i="29"/>
  <c r="V29" i="29"/>
  <c r="P29" i="29"/>
  <c r="Q29" i="29" s="1"/>
  <c r="N29" i="29"/>
  <c r="AR28" i="29"/>
  <c r="AK28" i="29"/>
  <c r="AT28" i="29" s="1"/>
  <c r="AG28" i="29"/>
  <c r="AH28" i="29" s="1"/>
  <c r="AH29" i="29" s="1"/>
  <c r="AF28" i="29"/>
  <c r="Y28" i="29"/>
  <c r="AD28" i="29" s="1"/>
  <c r="Q28" i="29"/>
  <c r="P28" i="29"/>
  <c r="N28" i="29"/>
  <c r="AQ27" i="29"/>
  <c r="AP27" i="29"/>
  <c r="AO27" i="29"/>
  <c r="AR27" i="29" s="1"/>
  <c r="AK27" i="29"/>
  <c r="AT27" i="29" s="1"/>
  <c r="AI27" i="29"/>
  <c r="AG27" i="29"/>
  <c r="AF27" i="29"/>
  <c r="W27" i="29"/>
  <c r="V27" i="29"/>
  <c r="Y27" i="29" s="1"/>
  <c r="P27" i="29"/>
  <c r="Q27" i="29" s="1"/>
  <c r="N27" i="29"/>
  <c r="AR26" i="29"/>
  <c r="AK26" i="29"/>
  <c r="AT26" i="29" s="1"/>
  <c r="AG26" i="29"/>
  <c r="AF26" i="29"/>
  <c r="Y26" i="29"/>
  <c r="AD26" i="29" s="1"/>
  <c r="Q26" i="29"/>
  <c r="P26" i="29"/>
  <c r="N26" i="29"/>
  <c r="AQ25" i="29"/>
  <c r="AP25" i="29"/>
  <c r="AS25" i="29" s="1"/>
  <c r="AO25" i="29"/>
  <c r="AE25" i="29"/>
  <c r="AD25" i="29"/>
  <c r="AC25" i="29"/>
  <c r="AB25" i="29"/>
  <c r="AA25" i="29"/>
  <c r="AM25" i="29" s="1"/>
  <c r="Z25" i="29"/>
  <c r="Y25" i="29"/>
  <c r="X25" i="29"/>
  <c r="O25" i="29"/>
  <c r="M25" i="29"/>
  <c r="L25" i="29"/>
  <c r="L32" i="29" s="1"/>
  <c r="L37" i="29" s="1"/>
  <c r="K25" i="29"/>
  <c r="J25" i="29"/>
  <c r="J32" i="29" s="1"/>
  <c r="J37" i="29" s="1"/>
  <c r="I25" i="29"/>
  <c r="H25" i="29"/>
  <c r="F25" i="29"/>
  <c r="AS24" i="29"/>
  <c r="AR24" i="29"/>
  <c r="AM24" i="29"/>
  <c r="AL24" i="29"/>
  <c r="AU24" i="29" s="1"/>
  <c r="AU25" i="29" s="1"/>
  <c r="AK24" i="29"/>
  <c r="AT24" i="29" s="1"/>
  <c r="AG24" i="29"/>
  <c r="AH24" i="29" s="1"/>
  <c r="AH25" i="29" s="1"/>
  <c r="AF24" i="29"/>
  <c r="AF25" i="29" s="1"/>
  <c r="AD24" i="29"/>
  <c r="AA24" i="29"/>
  <c r="P24" i="29"/>
  <c r="Q24" i="29" s="1"/>
  <c r="N24" i="29"/>
  <c r="N25" i="29" s="1"/>
  <c r="AJ23" i="29"/>
  <c r="AK23" i="29" s="1"/>
  <c r="AT23" i="29" s="1"/>
  <c r="AG23" i="29"/>
  <c r="AR23" i="29" s="1"/>
  <c r="AF23" i="29"/>
  <c r="AE23" i="29"/>
  <c r="AC23" i="29"/>
  <c r="AB23" i="29"/>
  <c r="Z23" i="29"/>
  <c r="AA23" i="29" s="1"/>
  <c r="AM23" i="29" s="1"/>
  <c r="Y23" i="29"/>
  <c r="AD23" i="29" s="1"/>
  <c r="Q23" i="29"/>
  <c r="Q25" i="29" s="1"/>
  <c r="P23" i="29"/>
  <c r="P25" i="29" s="1"/>
  <c r="N23" i="29"/>
  <c r="AQ22" i="29"/>
  <c r="AT22" i="29" s="1"/>
  <c r="AP22" i="29"/>
  <c r="AS22" i="29" s="1"/>
  <c r="AO22" i="29"/>
  <c r="AE22" i="29"/>
  <c r="AD22" i="29"/>
  <c r="AC22" i="29"/>
  <c r="AB22" i="29"/>
  <c r="AA22" i="29"/>
  <c r="AM22" i="29" s="1"/>
  <c r="Z22" i="29"/>
  <c r="Y22" i="29"/>
  <c r="X22" i="29"/>
  <c r="O22" i="29"/>
  <c r="N22" i="29"/>
  <c r="M22" i="29"/>
  <c r="M32" i="29" s="1"/>
  <c r="M37" i="29" s="1"/>
  <c r="L22" i="29"/>
  <c r="K22" i="29"/>
  <c r="J22" i="29"/>
  <c r="I22" i="29"/>
  <c r="H22" i="29"/>
  <c r="F22" i="29"/>
  <c r="AT21" i="29"/>
  <c r="AS21" i="29"/>
  <c r="AM21" i="29"/>
  <c r="AK21" i="29"/>
  <c r="AK22" i="29" s="1"/>
  <c r="AF21" i="29"/>
  <c r="AG21" i="29" s="1"/>
  <c r="AD21" i="29"/>
  <c r="AA21" i="29"/>
  <c r="P21" i="29"/>
  <c r="Q21" i="29" s="1"/>
  <c r="N21" i="29"/>
  <c r="AJ20" i="29"/>
  <c r="AK20" i="29" s="1"/>
  <c r="AT20" i="29" s="1"/>
  <c r="AF20" i="29"/>
  <c r="AE20" i="29"/>
  <c r="AC20" i="29"/>
  <c r="AB20" i="29"/>
  <c r="Z20" i="29"/>
  <c r="AA20" i="29" s="1"/>
  <c r="AM20" i="29" s="1"/>
  <c r="Y20" i="29"/>
  <c r="AD20" i="29" s="1"/>
  <c r="AS20" i="29" s="1"/>
  <c r="N20" i="29"/>
  <c r="P20" i="29" s="1"/>
  <c r="Q20" i="29" s="1"/>
  <c r="AK19" i="29"/>
  <c r="AT19" i="29" s="1"/>
  <c r="AJ19" i="29"/>
  <c r="AF19" i="29"/>
  <c r="AE19" i="29"/>
  <c r="AC19" i="29"/>
  <c r="AB19" i="29"/>
  <c r="Z19" i="29"/>
  <c r="AA19" i="29" s="1"/>
  <c r="AM19" i="29" s="1"/>
  <c r="Y19" i="29"/>
  <c r="AD19" i="29" s="1"/>
  <c r="AS19" i="29" s="1"/>
  <c r="N19" i="29"/>
  <c r="P19" i="29" s="1"/>
  <c r="AQ18" i="29"/>
  <c r="AP18" i="29"/>
  <c r="AO18" i="29"/>
  <c r="AE18" i="29"/>
  <c r="AC18" i="29"/>
  <c r="AB18" i="29"/>
  <c r="Z18" i="29"/>
  <c r="Y18" i="29"/>
  <c r="X18" i="29"/>
  <c r="O18" i="29"/>
  <c r="K56" i="27" s="1"/>
  <c r="M18" i="29"/>
  <c r="L18" i="29"/>
  <c r="K18" i="29"/>
  <c r="J18" i="29"/>
  <c r="I18" i="29"/>
  <c r="H18" i="29"/>
  <c r="F18" i="29"/>
  <c r="AT17" i="29"/>
  <c r="AK17" i="29"/>
  <c r="AK18" i="29" s="1"/>
  <c r="AF17" i="29"/>
  <c r="AG17" i="29" s="1"/>
  <c r="AD17" i="29"/>
  <c r="AD18" i="29" s="1"/>
  <c r="AS18" i="29" s="1"/>
  <c r="AA17" i="29"/>
  <c r="AA18" i="29" s="1"/>
  <c r="AM18" i="29" s="1"/>
  <c r="P17" i="29"/>
  <c r="Q17" i="29" s="1"/>
  <c r="N17" i="29"/>
  <c r="AK16" i="29"/>
  <c r="AT16" i="29" s="1"/>
  <c r="AF16" i="29"/>
  <c r="AE16" i="29"/>
  <c r="AC16" i="29"/>
  <c r="AB16" i="29"/>
  <c r="Z16" i="29"/>
  <c r="AA16" i="29" s="1"/>
  <c r="AM16" i="29" s="1"/>
  <c r="Y16" i="29"/>
  <c r="AD16" i="29" s="1"/>
  <c r="AS16" i="29" s="1"/>
  <c r="N16" i="29"/>
  <c r="P16" i="29" s="1"/>
  <c r="Q16" i="29" s="1"/>
  <c r="AT15" i="29"/>
  <c r="AK15" i="29"/>
  <c r="AF15" i="29"/>
  <c r="AE15" i="29"/>
  <c r="AC15" i="29"/>
  <c r="AB15" i="29"/>
  <c r="AD15" i="29" s="1"/>
  <c r="AS15" i="29" s="1"/>
  <c r="AA15" i="29"/>
  <c r="AM15" i="29" s="1"/>
  <c r="Z15" i="29"/>
  <c r="AG15" i="29" s="1"/>
  <c r="Y15" i="29"/>
  <c r="P15" i="29"/>
  <c r="Q15" i="29" s="1"/>
  <c r="N15" i="29"/>
  <c r="AT14" i="29"/>
  <c r="AK14" i="29"/>
  <c r="AF14" i="29"/>
  <c r="AE14" i="29"/>
  <c r="AC14" i="29"/>
  <c r="AB14" i="29"/>
  <c r="AD14" i="29" s="1"/>
  <c r="AS14" i="29" s="1"/>
  <c r="AA14" i="29"/>
  <c r="AM14" i="29" s="1"/>
  <c r="Z14" i="29"/>
  <c r="AG14" i="29" s="1"/>
  <c r="Y14" i="29"/>
  <c r="N14" i="29"/>
  <c r="P14" i="29" s="1"/>
  <c r="E13" i="29"/>
  <c r="E37" i="29" s="1"/>
  <c r="Q12" i="29"/>
  <c r="F12" i="29"/>
  <c r="B12" i="29"/>
  <c r="F11" i="29"/>
  <c r="Q11" i="29" s="1"/>
  <c r="D11" i="29"/>
  <c r="D13" i="29" s="1"/>
  <c r="D37" i="29" s="1"/>
  <c r="B11" i="29"/>
  <c r="B10" i="29"/>
  <c r="F6" i="29"/>
  <c r="E6" i="29"/>
  <c r="D6" i="29"/>
  <c r="C6" i="29"/>
  <c r="F5" i="29"/>
  <c r="F4" i="29"/>
  <c r="F3" i="29"/>
  <c r="R22" i="55"/>
  <c r="Q22" i="55"/>
  <c r="P22" i="55"/>
  <c r="O22" i="55"/>
  <c r="N22" i="55"/>
  <c r="R19" i="55"/>
  <c r="Q19" i="55"/>
  <c r="P19" i="55"/>
  <c r="O19" i="55"/>
  <c r="N19" i="55"/>
  <c r="R17" i="55"/>
  <c r="Q17" i="55"/>
  <c r="P17" i="55"/>
  <c r="O17" i="55"/>
  <c r="N17" i="55"/>
  <c r="R16" i="55"/>
  <c r="Q16" i="55"/>
  <c r="P16" i="55"/>
  <c r="O16" i="55"/>
  <c r="N16" i="55"/>
  <c r="R34" i="46"/>
  <c r="Q34" i="46"/>
  <c r="O34" i="46"/>
  <c r="N34" i="46"/>
  <c r="K34" i="46"/>
  <c r="J34" i="46"/>
  <c r="I34" i="46"/>
  <c r="F34" i="46"/>
  <c r="E34" i="46"/>
  <c r="D34" i="46"/>
  <c r="C34" i="46"/>
  <c r="R32" i="46"/>
  <c r="Q32" i="46"/>
  <c r="O32" i="46"/>
  <c r="N32" i="46"/>
  <c r="K32" i="46"/>
  <c r="J32" i="46"/>
  <c r="I32" i="46"/>
  <c r="F32" i="46"/>
  <c r="E32" i="46"/>
  <c r="D32" i="46"/>
  <c r="C32" i="46"/>
  <c r="R28" i="46"/>
  <c r="Q28" i="46"/>
  <c r="O28" i="46"/>
  <c r="N28" i="46"/>
  <c r="L28" i="46"/>
  <c r="K28" i="46"/>
  <c r="J28" i="46"/>
  <c r="I28" i="46"/>
  <c r="G28" i="46"/>
  <c r="F28" i="46"/>
  <c r="E28" i="46"/>
  <c r="D28" i="46"/>
  <c r="C28" i="46"/>
  <c r="O27" i="46"/>
  <c r="N27" i="46"/>
  <c r="K27" i="46"/>
  <c r="J27" i="46"/>
  <c r="I27" i="46"/>
  <c r="F27" i="46"/>
  <c r="E27" i="46"/>
  <c r="D27" i="46"/>
  <c r="C27" i="46"/>
  <c r="R16" i="46"/>
  <c r="Q16" i="46"/>
  <c r="O16" i="46"/>
  <c r="N16" i="46"/>
  <c r="K16" i="46"/>
  <c r="J16" i="46"/>
  <c r="I16" i="46"/>
  <c r="F16" i="46"/>
  <c r="E16" i="46"/>
  <c r="D16" i="46"/>
  <c r="C16" i="46"/>
  <c r="R15" i="46"/>
  <c r="Q15" i="46"/>
  <c r="O15" i="46"/>
  <c r="N15" i="46"/>
  <c r="K15" i="46"/>
  <c r="J15" i="46"/>
  <c r="I15" i="46"/>
  <c r="F15" i="46"/>
  <c r="E15" i="46"/>
  <c r="D15" i="46"/>
  <c r="C15" i="46"/>
  <c r="H28" i="60"/>
  <c r="H27" i="60"/>
  <c r="H26" i="60"/>
  <c r="H25" i="60"/>
  <c r="H24" i="60"/>
  <c r="H23" i="60"/>
  <c r="H22" i="60"/>
  <c r="H21" i="60"/>
  <c r="H20" i="60"/>
  <c r="H16" i="60"/>
  <c r="H15" i="60"/>
  <c r="H14" i="60"/>
  <c r="H13" i="60"/>
  <c r="H12" i="60"/>
  <c r="H11" i="60"/>
  <c r="H9" i="60"/>
  <c r="H8" i="60"/>
  <c r="H7" i="60"/>
  <c r="H16" i="58"/>
  <c r="H15" i="58"/>
  <c r="H14" i="58"/>
  <c r="H13" i="58"/>
  <c r="H12" i="58"/>
  <c r="H11" i="58"/>
  <c r="H9" i="58"/>
  <c r="H8" i="58"/>
  <c r="H7" i="58"/>
  <c r="H16" i="57"/>
  <c r="H15" i="57"/>
  <c r="H14" i="57"/>
  <c r="H13" i="57"/>
  <c r="H12" i="57"/>
  <c r="H11" i="57"/>
  <c r="H9" i="57"/>
  <c r="H8" i="57"/>
  <c r="H7" i="57"/>
  <c r="H16" i="47"/>
  <c r="H15" i="47"/>
  <c r="H14" i="47"/>
  <c r="H13" i="47"/>
  <c r="H12" i="47"/>
  <c r="H11" i="47"/>
  <c r="H9" i="47"/>
  <c r="H8" i="47"/>
  <c r="H7" i="47"/>
  <c r="K29" i="27"/>
  <c r="K28" i="27"/>
  <c r="K27" i="27"/>
  <c r="K26" i="27"/>
  <c r="K20" i="27"/>
  <c r="K19" i="27"/>
  <c r="K18" i="27"/>
  <c r="K17" i="27"/>
  <c r="K16" i="27"/>
  <c r="K15" i="27"/>
  <c r="K14" i="27"/>
  <c r="K13" i="27"/>
  <c r="K12" i="27"/>
  <c r="K11" i="27"/>
  <c r="K10" i="27"/>
  <c r="K9" i="27"/>
  <c r="K8" i="27"/>
  <c r="K5" i="27"/>
  <c r="K4" i="27"/>
  <c r="K3" i="27"/>
  <c r="F5" i="48"/>
  <c r="F4" i="48"/>
  <c r="D11" i="73"/>
  <c r="C10" i="73"/>
  <c r="P33" i="69"/>
  <c r="O33" i="69"/>
  <c r="N33" i="69"/>
  <c r="M33" i="69"/>
  <c r="L33" i="69"/>
  <c r="J33" i="69"/>
  <c r="I33" i="69"/>
  <c r="H33" i="69"/>
  <c r="P32" i="69"/>
  <c r="O32" i="69"/>
  <c r="N32" i="69"/>
  <c r="M32" i="69"/>
  <c r="L32" i="69"/>
  <c r="J32" i="69"/>
  <c r="I32" i="69"/>
  <c r="H32" i="69"/>
  <c r="P31" i="69"/>
  <c r="O31" i="69"/>
  <c r="N31" i="69"/>
  <c r="M31" i="69"/>
  <c r="L31" i="69"/>
  <c r="J31" i="69"/>
  <c r="I31" i="69"/>
  <c r="H31" i="69"/>
  <c r="F60" i="73"/>
  <c r="D60" i="73"/>
  <c r="C60" i="73"/>
  <c r="H59" i="73"/>
  <c r="H60" i="73" s="1"/>
  <c r="G10" i="48"/>
  <c r="E4" i="48"/>
  <c r="G4" i="48" s="1"/>
  <c r="D3" i="27"/>
  <c r="B3" i="47"/>
  <c r="I68" i="27"/>
  <c r="J68" i="27" s="1"/>
  <c r="AR25" i="29" l="1"/>
  <c r="AH30" i="29"/>
  <c r="AR30" i="29"/>
  <c r="AL30" i="29"/>
  <c r="AU30" i="29" s="1"/>
  <c r="Q14" i="29"/>
  <c r="P18" i="29"/>
  <c r="AD27" i="29"/>
  <c r="AA27" i="29"/>
  <c r="AM27" i="29" s="1"/>
  <c r="P31" i="29"/>
  <c r="P32" i="29" s="1"/>
  <c r="AH14" i="29"/>
  <c r="AR14" i="29"/>
  <c r="AL14" i="29"/>
  <c r="AU14" i="29" s="1"/>
  <c r="AT18" i="29"/>
  <c r="AH23" i="29"/>
  <c r="AS23" i="29"/>
  <c r="Q31" i="29"/>
  <c r="AS28" i="29"/>
  <c r="AL28" i="29"/>
  <c r="AD29" i="29"/>
  <c r="AS29" i="29" s="1"/>
  <c r="AR15" i="29"/>
  <c r="AL15" i="29"/>
  <c r="AU15" i="29" s="1"/>
  <c r="AH15" i="29"/>
  <c r="AL17" i="29"/>
  <c r="AG18" i="29"/>
  <c r="AR18" i="29" s="1"/>
  <c r="AH17" i="29"/>
  <c r="AH18" i="29" s="1"/>
  <c r="AR17" i="29"/>
  <c r="P22" i="29"/>
  <c r="Q19" i="29"/>
  <c r="AS26" i="29"/>
  <c r="AL26" i="29"/>
  <c r="AU26" i="29" s="1"/>
  <c r="F10" i="29"/>
  <c r="C13" i="29"/>
  <c r="C37" i="29" s="1"/>
  <c r="AG22" i="29"/>
  <c r="AR21" i="29"/>
  <c r="AL21" i="29"/>
  <c r="AH21" i="29"/>
  <c r="AH22" i="29" s="1"/>
  <c r="AH26" i="29"/>
  <c r="B4" i="62"/>
  <c r="B23" i="62" s="1"/>
  <c r="P66" i="27"/>
  <c r="AR22" i="29"/>
  <c r="AG16" i="29"/>
  <c r="AM17" i="29"/>
  <c r="AG19" i="29"/>
  <c r="AG25" i="29"/>
  <c r="P33" i="29"/>
  <c r="AS17" i="29"/>
  <c r="N18" i="29"/>
  <c r="N32" i="29" s="1"/>
  <c r="N37" i="29" s="1"/>
  <c r="AG20" i="29"/>
  <c r="AK25" i="29"/>
  <c r="AT25" i="29" s="1"/>
  <c r="AL25" i="29"/>
  <c r="AF18" i="29"/>
  <c r="AF30" i="29"/>
  <c r="AL23" i="29"/>
  <c r="AU23" i="29" s="1"/>
  <c r="AA26" i="29"/>
  <c r="AM26" i="29" s="1"/>
  <c r="AA28" i="29"/>
  <c r="AF22" i="29"/>
  <c r="B19" i="62" l="1"/>
  <c r="AR16" i="29"/>
  <c r="AL16" i="29"/>
  <c r="AU16" i="29" s="1"/>
  <c r="AH16" i="29"/>
  <c r="AL18" i="29"/>
  <c r="AU17" i="29"/>
  <c r="AU18" i="29" s="1"/>
  <c r="Q18" i="29"/>
  <c r="Q22" i="29"/>
  <c r="AU28" i="29"/>
  <c r="AU29" i="29" s="1"/>
  <c r="AL29" i="29"/>
  <c r="AU21" i="29"/>
  <c r="AU22" i="29" s="1"/>
  <c r="AL22" i="29"/>
  <c r="AR19" i="29"/>
  <c r="AL19" i="29"/>
  <c r="AU19" i="29" s="1"/>
  <c r="AH19" i="29"/>
  <c r="AL27" i="29"/>
  <c r="AU27" i="29" s="1"/>
  <c r="AH27" i="29"/>
  <c r="AR20" i="29"/>
  <c r="AL20" i="29"/>
  <c r="AU20" i="29" s="1"/>
  <c r="AH20" i="29"/>
  <c r="AA29" i="29"/>
  <c r="AM29" i="29" s="1"/>
  <c r="AM28" i="29"/>
  <c r="Q33" i="29"/>
  <c r="P36" i="29"/>
  <c r="P37" i="29" s="1"/>
  <c r="Q10" i="29"/>
  <c r="F13" i="29"/>
  <c r="F37" i="29" s="1"/>
  <c r="AS27" i="29"/>
  <c r="D16" i="65"/>
  <c r="D7" i="65"/>
  <c r="Q13" i="29" l="1"/>
  <c r="Q36" i="29"/>
  <c r="Q32" i="29"/>
  <c r="Q37" i="29" l="1"/>
  <c r="I81" i="27"/>
  <c r="D27" i="27"/>
  <c r="I80" i="27"/>
  <c r="D26" i="27"/>
  <c r="B66" i="29" l="1"/>
  <c r="C66" i="29" s="1"/>
  <c r="E55" i="29"/>
  <c r="G55" i="29" s="1"/>
  <c r="R37" i="29"/>
  <c r="E59" i="29"/>
  <c r="G59" i="29" s="1"/>
  <c r="E54" i="29"/>
  <c r="E58" i="29"/>
  <c r="G58" i="29" s="1"/>
  <c r="B53" i="29"/>
  <c r="R23" i="29"/>
  <c r="Q38" i="29"/>
  <c r="G38" i="29"/>
  <c r="E57" i="29"/>
  <c r="G57" i="29" s="1"/>
  <c r="E56" i="29"/>
  <c r="G56" i="29" s="1"/>
  <c r="D5" i="27"/>
  <c r="D4" i="27"/>
  <c r="R24" i="29"/>
  <c r="R11" i="29"/>
  <c r="R26" i="29"/>
  <c r="D38" i="29"/>
  <c r="R27" i="29"/>
  <c r="K38" i="29"/>
  <c r="M38" i="29"/>
  <c r="L38" i="29"/>
  <c r="R16" i="29"/>
  <c r="R30" i="29"/>
  <c r="R12" i="29"/>
  <c r="R28" i="29"/>
  <c r="R29" i="29"/>
  <c r="O38" i="29"/>
  <c r="E38" i="29"/>
  <c r="R15" i="29"/>
  <c r="R20" i="29"/>
  <c r="J38" i="29"/>
  <c r="R21" i="29"/>
  <c r="H38" i="29"/>
  <c r="I38" i="29"/>
  <c r="R35" i="29"/>
  <c r="R17" i="29"/>
  <c r="R25" i="29"/>
  <c r="R34" i="29"/>
  <c r="N38" i="29"/>
  <c r="C38" i="29"/>
  <c r="R19" i="29"/>
  <c r="R31" i="29"/>
  <c r="R14" i="29"/>
  <c r="R18" i="29"/>
  <c r="R22" i="29"/>
  <c r="F38" i="29"/>
  <c r="R10" i="29"/>
  <c r="P38" i="29"/>
  <c r="R33" i="29"/>
  <c r="R32" i="29"/>
  <c r="J80" i="27"/>
  <c r="R13" i="29"/>
  <c r="R36" i="29"/>
  <c r="J81" i="27"/>
  <c r="J82" i="27"/>
  <c r="C8" i="36"/>
  <c r="C15" i="36" s="1"/>
  <c r="B60" i="29" l="1"/>
  <c r="G53" i="29"/>
  <c r="G54" i="29"/>
  <c r="E60" i="29"/>
  <c r="E27" i="27"/>
  <c r="C4" i="36"/>
  <c r="A25" i="71"/>
  <c r="C18" i="36" l="1"/>
  <c r="C9" i="36"/>
  <c r="G60" i="29"/>
  <c r="B65" i="29" s="1"/>
  <c r="C65" i="29" s="1"/>
  <c r="F27" i="60"/>
  <c r="E27" i="60"/>
  <c r="G27" i="60" s="1"/>
  <c r="F26" i="60"/>
  <c r="F25" i="60" s="1"/>
  <c r="F24" i="60" s="1"/>
  <c r="F23" i="60" s="1"/>
  <c r="E26" i="60"/>
  <c r="E25" i="60" s="1"/>
  <c r="F21" i="60"/>
  <c r="E21" i="60"/>
  <c r="F20" i="60"/>
  <c r="E20" i="60"/>
  <c r="F15" i="60"/>
  <c r="E15" i="60"/>
  <c r="G15" i="60" s="1"/>
  <c r="F14" i="60"/>
  <c r="F13" i="60" s="1"/>
  <c r="F12" i="60" s="1"/>
  <c r="F11" i="60" s="1"/>
  <c r="E14" i="60"/>
  <c r="E13" i="60" s="1"/>
  <c r="F9" i="60"/>
  <c r="E9" i="60"/>
  <c r="F8" i="60"/>
  <c r="F7" i="60" s="1"/>
  <c r="E8" i="60"/>
  <c r="F15" i="57"/>
  <c r="E15" i="57"/>
  <c r="G15" i="57" s="1"/>
  <c r="F14" i="57"/>
  <c r="F13" i="57" s="1"/>
  <c r="F12" i="57" s="1"/>
  <c r="F11" i="57" s="1"/>
  <c r="E14" i="57"/>
  <c r="E13" i="57" s="1"/>
  <c r="F9" i="57"/>
  <c r="E9" i="57"/>
  <c r="F8" i="57"/>
  <c r="F7" i="57" s="1"/>
  <c r="E8" i="57"/>
  <c r="E7" i="57" s="1"/>
  <c r="G15" i="47"/>
  <c r="G14" i="47"/>
  <c r="F11" i="47"/>
  <c r="E11" i="47"/>
  <c r="F12" i="47"/>
  <c r="E12" i="47"/>
  <c r="F13" i="47"/>
  <c r="E13" i="47"/>
  <c r="F14" i="47"/>
  <c r="E14" i="47"/>
  <c r="F15" i="47"/>
  <c r="E15" i="47"/>
  <c r="F7" i="47"/>
  <c r="E7" i="47"/>
  <c r="F8" i="47"/>
  <c r="E8" i="47"/>
  <c r="F9" i="47"/>
  <c r="E9" i="47"/>
  <c r="E24" i="60" l="1"/>
  <c r="G26" i="60"/>
  <c r="E12" i="60"/>
  <c r="G14" i="60"/>
  <c r="E7" i="60"/>
  <c r="E12" i="57"/>
  <c r="G14" i="57"/>
  <c r="I10" i="27"/>
  <c r="G10" i="27"/>
  <c r="I9" i="27"/>
  <c r="G9" i="27"/>
  <c r="I8" i="27"/>
  <c r="G8" i="27"/>
  <c r="I14" i="27"/>
  <c r="G14" i="27"/>
  <c r="I13" i="27"/>
  <c r="G13" i="27"/>
  <c r="I12" i="27"/>
  <c r="G12" i="27"/>
  <c r="I18" i="27"/>
  <c r="G18" i="27"/>
  <c r="I17" i="27"/>
  <c r="G17" i="27"/>
  <c r="I16" i="27"/>
  <c r="G16" i="27"/>
  <c r="I28" i="27"/>
  <c r="I27" i="27"/>
  <c r="I26" i="27"/>
  <c r="G26" i="27"/>
  <c r="G27" i="27"/>
  <c r="G28" i="27"/>
  <c r="C11" i="68"/>
  <c r="D11" i="68"/>
  <c r="E11" i="68"/>
  <c r="F11" i="68"/>
  <c r="G11" i="68"/>
  <c r="H11" i="68"/>
  <c r="I11" i="68"/>
  <c r="J11" i="68"/>
  <c r="K11" i="68"/>
  <c r="L11" i="68"/>
  <c r="B11" i="68"/>
  <c r="J28" i="27" l="1"/>
  <c r="J27" i="27"/>
  <c r="E23" i="60"/>
  <c r="E11" i="60"/>
  <c r="E11" i="57"/>
  <c r="J5" i="46" l="1"/>
  <c r="E5" i="46"/>
  <c r="F5" i="46"/>
  <c r="K5" i="46"/>
  <c r="O5" i="46"/>
  <c r="N5" i="46"/>
  <c r="N13" i="74"/>
  <c r="O13" i="74" s="1"/>
  <c r="P13" i="74" s="1"/>
  <c r="Q13" i="74" s="1"/>
  <c r="R13" i="74" s="1"/>
  <c r="N15" i="74"/>
  <c r="O15" i="74" s="1"/>
  <c r="P15" i="74" s="1"/>
  <c r="Q15" i="74" s="1"/>
  <c r="R15" i="74" s="1"/>
  <c r="A4" i="74"/>
  <c r="R3" i="74"/>
  <c r="Q3" i="74"/>
  <c r="P3" i="74"/>
  <c r="O3" i="74"/>
  <c r="N3" i="74"/>
  <c r="M3" i="74"/>
  <c r="L3" i="74"/>
  <c r="K3" i="74"/>
  <c r="J3" i="74"/>
  <c r="I3" i="74"/>
  <c r="H3" i="74"/>
  <c r="G3" i="74"/>
  <c r="F3" i="74"/>
  <c r="E3" i="74"/>
  <c r="D3" i="74"/>
  <c r="C3" i="74"/>
  <c r="B3" i="74"/>
  <c r="A3" i="74"/>
  <c r="Q27" i="46"/>
  <c r="R27" i="46"/>
  <c r="I25" i="58"/>
  <c r="I24" i="58"/>
  <c r="F16" i="58"/>
  <c r="F15" i="58" s="1"/>
  <c r="F14" i="58" s="1"/>
  <c r="F13" i="58" s="1"/>
  <c r="F12" i="58" s="1"/>
  <c r="F11" i="58" s="1"/>
  <c r="E16" i="58"/>
  <c r="E15" i="58" s="1"/>
  <c r="E14" i="58" s="1"/>
  <c r="E13" i="58" s="1"/>
  <c r="E12" i="58" s="1"/>
  <c r="E11" i="58" s="1"/>
  <c r="F10" i="58"/>
  <c r="F9" i="58" s="1"/>
  <c r="F8" i="58" s="1"/>
  <c r="F7" i="58" s="1"/>
  <c r="E10" i="58"/>
  <c r="E9" i="58" s="1"/>
  <c r="D15" i="58"/>
  <c r="G15" i="58" s="1"/>
  <c r="D14" i="58"/>
  <c r="G14" i="58" s="1"/>
  <c r="B13" i="58"/>
  <c r="B12" i="58"/>
  <c r="B11" i="58"/>
  <c r="B8" i="58"/>
  <c r="F34" i="69"/>
  <c r="E8" i="58" l="1"/>
  <c r="G34" i="69"/>
  <c r="K34" i="69"/>
  <c r="K35" i="69" s="1"/>
  <c r="K36" i="69" s="1"/>
  <c r="J34" i="69"/>
  <c r="J35" i="69" s="1"/>
  <c r="J36" i="69" s="1"/>
  <c r="C3" i="71"/>
  <c r="D3" i="71"/>
  <c r="E3" i="71"/>
  <c r="G3" i="71"/>
  <c r="H3" i="71"/>
  <c r="I3" i="71"/>
  <c r="J3" i="71"/>
  <c r="L3" i="71"/>
  <c r="M3" i="71"/>
  <c r="N3" i="71"/>
  <c r="P3" i="71"/>
  <c r="Q3" i="71"/>
  <c r="R3" i="71"/>
  <c r="A3" i="71"/>
  <c r="L12" i="71"/>
  <c r="G12" i="71"/>
  <c r="G11" i="71"/>
  <c r="L11" i="71"/>
  <c r="C5" i="69"/>
  <c r="G5" i="61"/>
  <c r="AE30" i="73"/>
  <c r="AC30" i="73"/>
  <c r="AB30" i="73"/>
  <c r="E7" i="58" l="1"/>
  <c r="L17" i="71"/>
  <c r="L19" i="71"/>
  <c r="G19" i="71"/>
  <c r="G17" i="71"/>
  <c r="M5" i="61" s="1"/>
  <c r="L34" i="69"/>
  <c r="L35" i="69" s="1"/>
  <c r="L36" i="69" s="1"/>
  <c r="H34" i="69"/>
  <c r="B20" i="68"/>
  <c r="C20" i="68"/>
  <c r="D20" i="68"/>
  <c r="E20" i="68"/>
  <c r="F20" i="68"/>
  <c r="G20" i="68"/>
  <c r="H20" i="68"/>
  <c r="I20" i="68"/>
  <c r="J20" i="68"/>
  <c r="K20" i="68"/>
  <c r="L20" i="68"/>
  <c r="B21" i="68"/>
  <c r="C21" i="68"/>
  <c r="D21" i="68"/>
  <c r="E21" i="68"/>
  <c r="F21" i="68"/>
  <c r="G21" i="68"/>
  <c r="H21" i="68"/>
  <c r="I21" i="68"/>
  <c r="J21" i="68"/>
  <c r="K21" i="68"/>
  <c r="L21" i="68"/>
  <c r="A32" i="68"/>
  <c r="A31" i="68"/>
  <c r="A30" i="68"/>
  <c r="A29" i="68"/>
  <c r="A27" i="68"/>
  <c r="B10" i="62"/>
  <c r="C10" i="62"/>
  <c r="E10" i="62"/>
  <c r="D10" i="62"/>
  <c r="F43" i="46"/>
  <c r="F45" i="46"/>
  <c r="E10" i="46"/>
  <c r="E6" i="67" s="1"/>
  <c r="X25" i="73"/>
  <c r="X22" i="73"/>
  <c r="X18" i="73"/>
  <c r="AQ29" i="73"/>
  <c r="AP29" i="73"/>
  <c r="AO29" i="73"/>
  <c r="AQ27" i="73"/>
  <c r="AP27" i="73"/>
  <c r="AO27" i="73"/>
  <c r="AQ25" i="73"/>
  <c r="AP25" i="73"/>
  <c r="AO25" i="73"/>
  <c r="AQ22" i="73"/>
  <c r="AP22" i="73"/>
  <c r="AO22" i="73"/>
  <c r="AQ18" i="73"/>
  <c r="AP18" i="73"/>
  <c r="AO18" i="73"/>
  <c r="AI30" i="73"/>
  <c r="AG30" i="73"/>
  <c r="AF30" i="73"/>
  <c r="V30" i="73"/>
  <c r="Y30" i="73" s="1"/>
  <c r="AE29" i="73"/>
  <c r="AC29" i="73"/>
  <c r="AB29" i="73"/>
  <c r="Z29" i="73"/>
  <c r="W29" i="73"/>
  <c r="V29" i="73"/>
  <c r="AG28" i="73"/>
  <c r="AR28" i="73" s="1"/>
  <c r="AF28" i="73"/>
  <c r="AF29" i="73" s="1"/>
  <c r="Y28" i="73"/>
  <c r="Y29" i="73" s="1"/>
  <c r="AI27" i="73"/>
  <c r="AG27" i="73"/>
  <c r="AF27" i="73"/>
  <c r="W27" i="73"/>
  <c r="V27" i="73"/>
  <c r="Y27" i="73" s="1"/>
  <c r="AG26" i="73"/>
  <c r="AF26" i="73"/>
  <c r="Y26" i="73"/>
  <c r="AA26" i="73" s="1"/>
  <c r="AF25" i="73"/>
  <c r="AE25" i="73"/>
  <c r="AD25" i="73"/>
  <c r="AC25" i="73"/>
  <c r="AB25" i="73"/>
  <c r="Z25" i="73"/>
  <c r="Y25" i="73"/>
  <c r="AF24" i="73"/>
  <c r="AG24" i="73" s="1"/>
  <c r="AD24" i="73"/>
  <c r="AA24" i="73"/>
  <c r="AA25" i="73" s="1"/>
  <c r="AJ23" i="73"/>
  <c r="AK23" i="73" s="1"/>
  <c r="AT23" i="73" s="1"/>
  <c r="AF23" i="73"/>
  <c r="AE23" i="73"/>
  <c r="AC23" i="73"/>
  <c r="AB23" i="73"/>
  <c r="Z23" i="73"/>
  <c r="Y23" i="73"/>
  <c r="AD23" i="73" s="1"/>
  <c r="AS23" i="73" s="1"/>
  <c r="AE22" i="73"/>
  <c r="AC22" i="73"/>
  <c r="AB22" i="73"/>
  <c r="Z22" i="73"/>
  <c r="Y22" i="73"/>
  <c r="AF21" i="73"/>
  <c r="AG21" i="73" s="1"/>
  <c r="AD21" i="73"/>
  <c r="AS21" i="73" s="1"/>
  <c r="AA21" i="73"/>
  <c r="AA22" i="73" s="1"/>
  <c r="AJ20" i="73"/>
  <c r="AK20" i="73" s="1"/>
  <c r="AT20" i="73" s="1"/>
  <c r="AF20" i="73"/>
  <c r="AE20" i="73"/>
  <c r="AC20" i="73"/>
  <c r="AB20" i="73"/>
  <c r="Z20" i="73"/>
  <c r="Y20" i="73"/>
  <c r="AD20" i="73" s="1"/>
  <c r="AJ19" i="73"/>
  <c r="AK19" i="73" s="1"/>
  <c r="AT19" i="73" s="1"/>
  <c r="AF19" i="73"/>
  <c r="AE19" i="73"/>
  <c r="AC19" i="73"/>
  <c r="AB19" i="73"/>
  <c r="Z19" i="73"/>
  <c r="AA19" i="73" s="1"/>
  <c r="Y19" i="73"/>
  <c r="AE18" i="73"/>
  <c r="AC18" i="73"/>
  <c r="AB18" i="73"/>
  <c r="Z18" i="73"/>
  <c r="Y18" i="73"/>
  <c r="AF17" i="73"/>
  <c r="AG17" i="73" s="1"/>
  <c r="AD17" i="73"/>
  <c r="AD18" i="73" s="1"/>
  <c r="AS18" i="73" s="1"/>
  <c r="AA17" i="73"/>
  <c r="AA18" i="73" s="1"/>
  <c r="AF16" i="73"/>
  <c r="AE16" i="73"/>
  <c r="AC16" i="73"/>
  <c r="AB16" i="73"/>
  <c r="Z16" i="73"/>
  <c r="Y16" i="73"/>
  <c r="AD16" i="73" s="1"/>
  <c r="AS16" i="73" s="1"/>
  <c r="AF15" i="73"/>
  <c r="AE15" i="73"/>
  <c r="AC15" i="73"/>
  <c r="AB15" i="73"/>
  <c r="Z15" i="73"/>
  <c r="Y15" i="73"/>
  <c r="AD15" i="73" s="1"/>
  <c r="AF14" i="73"/>
  <c r="AE14" i="73"/>
  <c r="AG14" i="73" s="1"/>
  <c r="AC14" i="73"/>
  <c r="AB14" i="73"/>
  <c r="Z14" i="73"/>
  <c r="AA14" i="73" s="1"/>
  <c r="Y14" i="73"/>
  <c r="AD14" i="73" s="1"/>
  <c r="AS14" i="73" s="1"/>
  <c r="G37" i="73"/>
  <c r="G36" i="73"/>
  <c r="E36" i="73"/>
  <c r="E37" i="73" s="1"/>
  <c r="D36" i="73"/>
  <c r="C36" i="73"/>
  <c r="N35" i="73"/>
  <c r="P35" i="73" s="1"/>
  <c r="Q35" i="73" s="1"/>
  <c r="F35" i="73"/>
  <c r="N34" i="73"/>
  <c r="N36" i="73" s="1"/>
  <c r="F34" i="73"/>
  <c r="P33" i="73"/>
  <c r="Q33" i="73" s="1"/>
  <c r="N33" i="73"/>
  <c r="F33" i="73"/>
  <c r="K32" i="73"/>
  <c r="K37" i="73" s="1"/>
  <c r="J32" i="73"/>
  <c r="J37" i="73" s="1"/>
  <c r="O31" i="73"/>
  <c r="M31" i="73"/>
  <c r="L31" i="73"/>
  <c r="K31" i="73"/>
  <c r="J31" i="73"/>
  <c r="I31" i="73"/>
  <c r="H31" i="73"/>
  <c r="P30" i="73"/>
  <c r="Q30" i="73" s="1"/>
  <c r="N30" i="73"/>
  <c r="N29" i="73"/>
  <c r="P29" i="73" s="1"/>
  <c r="Q29" i="73" s="1"/>
  <c r="N28" i="73"/>
  <c r="P28" i="73" s="1"/>
  <c r="Q28" i="73" s="1"/>
  <c r="N27" i="73"/>
  <c r="P27" i="73" s="1"/>
  <c r="Q27" i="73" s="1"/>
  <c r="N26" i="73"/>
  <c r="P26" i="73" s="1"/>
  <c r="O25" i="73"/>
  <c r="M25" i="73"/>
  <c r="L25" i="73"/>
  <c r="K25" i="73"/>
  <c r="J25" i="73"/>
  <c r="I25" i="73"/>
  <c r="H25" i="73"/>
  <c r="F25" i="73"/>
  <c r="N24" i="73"/>
  <c r="P24" i="73" s="1"/>
  <c r="Q24" i="73" s="1"/>
  <c r="P23" i="73"/>
  <c r="Q23" i="73" s="1"/>
  <c r="N23" i="73"/>
  <c r="O22" i="73"/>
  <c r="M22" i="73"/>
  <c r="L22" i="73"/>
  <c r="L32" i="73" s="1"/>
  <c r="L37" i="73" s="1"/>
  <c r="K22" i="73"/>
  <c r="J22" i="73"/>
  <c r="I22" i="73"/>
  <c r="H22" i="73"/>
  <c r="F22" i="73"/>
  <c r="N21" i="73"/>
  <c r="P21" i="73" s="1"/>
  <c r="Q21" i="73" s="1"/>
  <c r="P20" i="73"/>
  <c r="N20" i="73"/>
  <c r="N19" i="73"/>
  <c r="P19" i="73" s="1"/>
  <c r="Q19" i="73" s="1"/>
  <c r="O18" i="73"/>
  <c r="M18" i="73"/>
  <c r="L18" i="73"/>
  <c r="K18" i="73"/>
  <c r="J18" i="73"/>
  <c r="I18" i="73"/>
  <c r="H18" i="73"/>
  <c r="F18" i="73"/>
  <c r="N17" i="73"/>
  <c r="P17" i="73" s="1"/>
  <c r="Q17" i="73" s="1"/>
  <c r="N16" i="73"/>
  <c r="P16" i="73" s="1"/>
  <c r="Q16" i="73" s="1"/>
  <c r="N15" i="73"/>
  <c r="P15" i="73" s="1"/>
  <c r="Q15" i="73" s="1"/>
  <c r="N14" i="73"/>
  <c r="P14" i="73" s="1"/>
  <c r="E13" i="73"/>
  <c r="F12" i="73"/>
  <c r="Q12" i="73" s="1"/>
  <c r="B12" i="73"/>
  <c r="D13" i="73"/>
  <c r="B11" i="73"/>
  <c r="B10" i="73"/>
  <c r="E6" i="73"/>
  <c r="D6" i="73"/>
  <c r="C6" i="73"/>
  <c r="F5" i="73"/>
  <c r="F4" i="73"/>
  <c r="F3" i="73"/>
  <c r="F6" i="73" s="1"/>
  <c r="AK30" i="73"/>
  <c r="AT30" i="73" s="1"/>
  <c r="AK28" i="73"/>
  <c r="AT28" i="73" s="1"/>
  <c r="AK27" i="73"/>
  <c r="AT27" i="73" s="1"/>
  <c r="AK26" i="73"/>
  <c r="AT26" i="73" s="1"/>
  <c r="AK24" i="73"/>
  <c r="AK25" i="73" s="1"/>
  <c r="AK21" i="73"/>
  <c r="AT21" i="73" s="1"/>
  <c r="AK17" i="73"/>
  <c r="AK18" i="73" s="1"/>
  <c r="AT18" i="73" s="1"/>
  <c r="AK16" i="73"/>
  <c r="AT16" i="73" s="1"/>
  <c r="AK15" i="73"/>
  <c r="AT15" i="73" s="1"/>
  <c r="AK14" i="73"/>
  <c r="AT14" i="73" s="1"/>
  <c r="D37" i="73" l="1"/>
  <c r="I34" i="69"/>
  <c r="I35" i="69" s="1"/>
  <c r="I36" i="69" s="1"/>
  <c r="H35" i="69"/>
  <c r="H36" i="69" s="1"/>
  <c r="M34" i="69"/>
  <c r="M35" i="69" s="1"/>
  <c r="M36" i="69" s="1"/>
  <c r="AA28" i="73"/>
  <c r="AA29" i="73" s="1"/>
  <c r="AG19" i="73"/>
  <c r="AG23" i="73"/>
  <c r="AD28" i="73"/>
  <c r="AD29" i="73" s="1"/>
  <c r="AD26" i="73"/>
  <c r="AS26" i="73" s="1"/>
  <c r="AG15" i="73"/>
  <c r="AA23" i="73"/>
  <c r="AK29" i="73"/>
  <c r="AT29" i="73" s="1"/>
  <c r="AA15" i="73"/>
  <c r="AM15" i="73" s="1"/>
  <c r="N18" i="73"/>
  <c r="M32" i="73"/>
  <c r="M37" i="73" s="1"/>
  <c r="I32" i="73"/>
  <c r="I37" i="73" s="1"/>
  <c r="F36" i="73"/>
  <c r="AG20" i="73"/>
  <c r="AL20" i="73" s="1"/>
  <c r="AU20" i="73" s="1"/>
  <c r="AD22" i="73"/>
  <c r="AS22" i="73" s="1"/>
  <c r="P22" i="73"/>
  <c r="N22" i="73"/>
  <c r="AG16" i="73"/>
  <c r="AT25" i="73"/>
  <c r="O32" i="73"/>
  <c r="O37" i="73" s="1"/>
  <c r="AF18" i="73"/>
  <c r="H32" i="73"/>
  <c r="H37" i="73" s="1"/>
  <c r="N25" i="73"/>
  <c r="AD19" i="73"/>
  <c r="AS19" i="73" s="1"/>
  <c r="AF22" i="73"/>
  <c r="AH20" i="73"/>
  <c r="AD27" i="73"/>
  <c r="AH27" i="73" s="1"/>
  <c r="AA27" i="73"/>
  <c r="AD30" i="73"/>
  <c r="AA30" i="73"/>
  <c r="AR15" i="73"/>
  <c r="AH15" i="73"/>
  <c r="AH16" i="73"/>
  <c r="AH14" i="73"/>
  <c r="AR14" i="73"/>
  <c r="AH17" i="73"/>
  <c r="AH18" i="73" s="1"/>
  <c r="AG18" i="73"/>
  <c r="AH21" i="73"/>
  <c r="AH22" i="73" s="1"/>
  <c r="AG22" i="73"/>
  <c r="AR22" i="73" s="1"/>
  <c r="AH24" i="73"/>
  <c r="AH25" i="73" s="1"/>
  <c r="AG25" i="73"/>
  <c r="AH19" i="73"/>
  <c r="AH23" i="73"/>
  <c r="AH30" i="73"/>
  <c r="AG29" i="73"/>
  <c r="AR29" i="73" s="1"/>
  <c r="AH28" i="73"/>
  <c r="AH29" i="73" s="1"/>
  <c r="AS17" i="73"/>
  <c r="AK22" i="73"/>
  <c r="AT22" i="73" s="1"/>
  <c r="AA20" i="73"/>
  <c r="AA16" i="73"/>
  <c r="Q25" i="73"/>
  <c r="C13" i="73"/>
  <c r="C37" i="73" s="1"/>
  <c r="F10" i="73"/>
  <c r="P31" i="73"/>
  <c r="Q26" i="73"/>
  <c r="P18" i="73"/>
  <c r="Q14" i="73"/>
  <c r="P36" i="73"/>
  <c r="P25" i="73"/>
  <c r="P34" i="73"/>
  <c r="Q34" i="73" s="1"/>
  <c r="Q36" i="73" s="1"/>
  <c r="F11" i="73"/>
  <c r="Q11" i="73" s="1"/>
  <c r="N31" i="73"/>
  <c r="Q20" i="73"/>
  <c r="AS25" i="73"/>
  <c r="AL27" i="73"/>
  <c r="AU27" i="73" s="1"/>
  <c r="AL15" i="73"/>
  <c r="AU15" i="73" s="1"/>
  <c r="AS15" i="73"/>
  <c r="AR16" i="73"/>
  <c r="AL16" i="73"/>
  <c r="AU16" i="73" s="1"/>
  <c r="AR21" i="73"/>
  <c r="AL21" i="73"/>
  <c r="AR23" i="73"/>
  <c r="AL23" i="73"/>
  <c r="AU23" i="73" s="1"/>
  <c r="AR19" i="73"/>
  <c r="AL19" i="73"/>
  <c r="AU19" i="73" s="1"/>
  <c r="AM14" i="73"/>
  <c r="AR25" i="73"/>
  <c r="AR24" i="73"/>
  <c r="AL24" i="73"/>
  <c r="AM24" i="73" s="1"/>
  <c r="AS27" i="73"/>
  <c r="AM19" i="73"/>
  <c r="AR20" i="73"/>
  <c r="AT17" i="73"/>
  <c r="AL26" i="73"/>
  <c r="AU26" i="73" s="1"/>
  <c r="AR27" i="73"/>
  <c r="AS20" i="73"/>
  <c r="AS24" i="73"/>
  <c r="AR26" i="73"/>
  <c r="AT24" i="73"/>
  <c r="AR30" i="73"/>
  <c r="AL14" i="73"/>
  <c r="AU14" i="73" s="1"/>
  <c r="G12" i="46"/>
  <c r="G5" i="71" s="1"/>
  <c r="A25" i="64"/>
  <c r="K68" i="27"/>
  <c r="G11" i="48"/>
  <c r="G9" i="48"/>
  <c r="B17" i="68"/>
  <c r="B16" i="68"/>
  <c r="B15" i="68"/>
  <c r="C17" i="68"/>
  <c r="C16" i="68"/>
  <c r="C15" i="68"/>
  <c r="D17" i="68"/>
  <c r="D16" i="68"/>
  <c r="D15" i="68"/>
  <c r="E17" i="68"/>
  <c r="E16" i="68"/>
  <c r="E15" i="68"/>
  <c r="F17" i="68"/>
  <c r="F16" i="68"/>
  <c r="F15" i="68"/>
  <c r="G17" i="68"/>
  <c r="G16" i="68"/>
  <c r="G15" i="68"/>
  <c r="H17" i="68"/>
  <c r="H16" i="68"/>
  <c r="H15" i="68"/>
  <c r="I17" i="68"/>
  <c r="I16" i="68"/>
  <c r="I15" i="68"/>
  <c r="J17" i="68"/>
  <c r="J16" i="68"/>
  <c r="J15" i="68"/>
  <c r="K17" i="68"/>
  <c r="K16" i="68"/>
  <c r="K15" i="68"/>
  <c r="L17" i="68"/>
  <c r="L16" i="68"/>
  <c r="L15" i="68"/>
  <c r="L20" i="71"/>
  <c r="G20" i="71"/>
  <c r="A7" i="71"/>
  <c r="A6" i="71"/>
  <c r="C6" i="71"/>
  <c r="D6" i="71"/>
  <c r="E6" i="71"/>
  <c r="G6" i="71"/>
  <c r="H6" i="71"/>
  <c r="I6" i="71"/>
  <c r="J6" i="71"/>
  <c r="L6" i="71"/>
  <c r="M6" i="71"/>
  <c r="N6" i="71"/>
  <c r="P6" i="71"/>
  <c r="Q6" i="71"/>
  <c r="R6" i="71"/>
  <c r="A4" i="71"/>
  <c r="B4" i="71"/>
  <c r="C4" i="71"/>
  <c r="D4" i="71"/>
  <c r="E4" i="71"/>
  <c r="F4" i="71"/>
  <c r="G4" i="71"/>
  <c r="H4" i="71"/>
  <c r="I4" i="71"/>
  <c r="J4" i="71"/>
  <c r="K4" i="71"/>
  <c r="L4" i="71"/>
  <c r="M4" i="71"/>
  <c r="N4" i="71"/>
  <c r="O4" i="71"/>
  <c r="P4" i="71"/>
  <c r="Q4" i="71"/>
  <c r="R4" i="71"/>
  <c r="D32" i="61"/>
  <c r="D31" i="61"/>
  <c r="C32" i="61"/>
  <c r="C31" i="61"/>
  <c r="Z31" i="61" s="1"/>
  <c r="B31" i="61"/>
  <c r="Z32" i="61"/>
  <c r="F32" i="61"/>
  <c r="C25" i="60"/>
  <c r="D25" i="60" s="1"/>
  <c r="G25" i="60" s="1"/>
  <c r="F12" i="46"/>
  <c r="F5" i="71" s="1"/>
  <c r="I12" i="46"/>
  <c r="I5" i="71" s="1"/>
  <c r="J12" i="46"/>
  <c r="J5" i="71" s="1"/>
  <c r="N12" i="46"/>
  <c r="N5" i="71" s="1"/>
  <c r="D17" i="27"/>
  <c r="D13" i="27"/>
  <c r="D9" i="27"/>
  <c r="L68" i="27" l="1"/>
  <c r="F31" i="61"/>
  <c r="N34" i="69"/>
  <c r="N35" i="69" s="1"/>
  <c r="N36" i="69" s="1"/>
  <c r="N32" i="73"/>
  <c r="N37" i="73" s="1"/>
  <c r="AH26" i="73"/>
  <c r="L12" i="46"/>
  <c r="L5" i="71" s="1"/>
  <c r="B12" i="46"/>
  <c r="B5" i="71" s="1"/>
  <c r="D12" i="46"/>
  <c r="D5" i="71" s="1"/>
  <c r="E12" i="46"/>
  <c r="E5" i="71" s="1"/>
  <c r="H12" i="46"/>
  <c r="H5" i="71" s="1"/>
  <c r="Q10" i="73"/>
  <c r="F13" i="73"/>
  <c r="F37" i="73" s="1"/>
  <c r="Q31" i="73"/>
  <c r="Q22" i="73"/>
  <c r="P32" i="73"/>
  <c r="P37" i="73" s="1"/>
  <c r="Q18" i="73"/>
  <c r="AL22" i="73"/>
  <c r="AM22" i="73" s="1"/>
  <c r="AU21" i="73"/>
  <c r="AU22" i="73" s="1"/>
  <c r="AM21" i="73"/>
  <c r="AS30" i="73"/>
  <c r="AL30" i="73"/>
  <c r="AU30" i="73" s="1"/>
  <c r="AL28" i="73"/>
  <c r="AS29" i="73"/>
  <c r="AS28" i="73"/>
  <c r="AM26" i="73"/>
  <c r="AM27" i="73"/>
  <c r="AU24" i="73"/>
  <c r="AU25" i="73" s="1"/>
  <c r="AL25" i="73"/>
  <c r="AM25" i="73" s="1"/>
  <c r="AR18" i="73"/>
  <c r="AR17" i="73"/>
  <c r="AL17" i="73"/>
  <c r="AM20" i="73"/>
  <c r="AM23" i="73"/>
  <c r="AM16" i="73"/>
  <c r="C24" i="60"/>
  <c r="C12" i="60"/>
  <c r="C12" i="58"/>
  <c r="C12" i="57"/>
  <c r="C12" i="47"/>
  <c r="A3" i="55"/>
  <c r="G4" i="61" s="1"/>
  <c r="C3" i="55"/>
  <c r="I4" i="61" s="1"/>
  <c r="D3" i="55"/>
  <c r="J4" i="61" s="1"/>
  <c r="E3" i="55"/>
  <c r="K4" i="61" s="1"/>
  <c r="G3" i="55"/>
  <c r="M4" i="61" s="1"/>
  <c r="H3" i="55"/>
  <c r="N4" i="61" s="1"/>
  <c r="I3" i="55"/>
  <c r="O4" i="61" s="1"/>
  <c r="J3" i="55"/>
  <c r="P4" i="61" s="1"/>
  <c r="L3" i="55"/>
  <c r="R4" i="61" s="1"/>
  <c r="M3" i="55"/>
  <c r="S4" i="61" s="1"/>
  <c r="N3" i="55"/>
  <c r="T4" i="61" s="1"/>
  <c r="P3" i="55"/>
  <c r="V4" i="61" s="1"/>
  <c r="Q3" i="55"/>
  <c r="W4" i="61" s="1"/>
  <c r="R3" i="55"/>
  <c r="X4" i="61" s="1"/>
  <c r="H27" i="46"/>
  <c r="C111" i="27"/>
  <c r="C23" i="47"/>
  <c r="C23" i="57"/>
  <c r="C23" i="58"/>
  <c r="C44" i="60"/>
  <c r="C37" i="60"/>
  <c r="O20" i="46"/>
  <c r="K20" i="46"/>
  <c r="F20" i="46"/>
  <c r="O34" i="69" l="1"/>
  <c r="O35" i="69" s="1"/>
  <c r="O36" i="69" s="1"/>
  <c r="K6" i="71"/>
  <c r="K3" i="71"/>
  <c r="F6" i="71"/>
  <c r="F3" i="71"/>
  <c r="O6" i="71"/>
  <c r="O3" i="71"/>
  <c r="K3" i="55"/>
  <c r="Q4" i="61" s="1"/>
  <c r="O3" i="55"/>
  <c r="U4" i="61" s="1"/>
  <c r="R12" i="46"/>
  <c r="R5" i="71" s="1"/>
  <c r="O12" i="46"/>
  <c r="O5" i="71" s="1"/>
  <c r="P12" i="46"/>
  <c r="P5" i="71" s="1"/>
  <c r="M12" i="46"/>
  <c r="M5" i="71" s="1"/>
  <c r="C12" i="46"/>
  <c r="C5" i="71" s="1"/>
  <c r="K12" i="46"/>
  <c r="K5" i="71" s="1"/>
  <c r="Q32" i="73"/>
  <c r="Q13" i="73"/>
  <c r="AM17" i="73"/>
  <c r="AL18" i="73"/>
  <c r="AM18" i="73" s="1"/>
  <c r="AU17" i="73"/>
  <c r="AU18" i="73" s="1"/>
  <c r="AU28" i="73"/>
  <c r="AU29" i="73" s="1"/>
  <c r="AL29" i="73"/>
  <c r="AM29" i="73" s="1"/>
  <c r="AM28" i="73"/>
  <c r="AM30" i="73"/>
  <c r="F3" i="55"/>
  <c r="L4" i="61" s="1"/>
  <c r="D4" i="50"/>
  <c r="E4" i="50"/>
  <c r="F4" i="50"/>
  <c r="D5" i="50"/>
  <c r="E5" i="50"/>
  <c r="F5" i="50"/>
  <c r="D6" i="50"/>
  <c r="E6" i="50"/>
  <c r="F6" i="50"/>
  <c r="D7" i="50"/>
  <c r="E7" i="50"/>
  <c r="F7" i="50"/>
  <c r="D8" i="50"/>
  <c r="E8" i="50"/>
  <c r="F8" i="50"/>
  <c r="D9" i="50"/>
  <c r="E9" i="50"/>
  <c r="F9" i="50"/>
  <c r="C5" i="50"/>
  <c r="C6" i="50"/>
  <c r="C7" i="50"/>
  <c r="C8" i="50"/>
  <c r="C9" i="50"/>
  <c r="C4" i="50"/>
  <c r="B3" i="50"/>
  <c r="Z36" i="61"/>
  <c r="F36" i="61"/>
  <c r="Z35" i="61"/>
  <c r="F35" i="61"/>
  <c r="Z34" i="61"/>
  <c r="F34" i="61"/>
  <c r="Z33" i="61"/>
  <c r="F33" i="61"/>
  <c r="G19" i="61"/>
  <c r="G18" i="61"/>
  <c r="G17" i="61"/>
  <c r="G16" i="61"/>
  <c r="G15" i="61"/>
  <c r="G14" i="61"/>
  <c r="G13" i="61"/>
  <c r="G12" i="61"/>
  <c r="G11" i="61"/>
  <c r="G10" i="61"/>
  <c r="P34" i="69" l="1"/>
  <c r="P35" i="69" s="1"/>
  <c r="P36" i="69" s="1"/>
  <c r="Q12" i="46"/>
  <c r="Q5" i="71" s="1"/>
  <c r="Q37" i="73"/>
  <c r="F44" i="60"/>
  <c r="F23" i="47"/>
  <c r="M27" i="46"/>
  <c r="Q38" i="73" l="1"/>
  <c r="G38" i="73"/>
  <c r="R32" i="73"/>
  <c r="R22" i="73"/>
  <c r="R12" i="73"/>
  <c r="P38" i="73"/>
  <c r="R31" i="73"/>
  <c r="R21" i="73"/>
  <c r="E59" i="73"/>
  <c r="G59" i="73" s="1"/>
  <c r="O38" i="73"/>
  <c r="E38" i="73"/>
  <c r="R30" i="73"/>
  <c r="R20" i="73"/>
  <c r="N38" i="73"/>
  <c r="R29" i="73"/>
  <c r="R19" i="73"/>
  <c r="E58" i="73"/>
  <c r="M38" i="73"/>
  <c r="R28" i="73"/>
  <c r="R18" i="73"/>
  <c r="E57" i="73"/>
  <c r="L38" i="73"/>
  <c r="R37" i="73"/>
  <c r="R27" i="73"/>
  <c r="R17" i="73"/>
  <c r="E56" i="73"/>
  <c r="G56" i="73" s="1"/>
  <c r="K38" i="73"/>
  <c r="R36" i="73"/>
  <c r="R26" i="73"/>
  <c r="R16" i="73"/>
  <c r="E55" i="73"/>
  <c r="J38" i="73"/>
  <c r="R35" i="73"/>
  <c r="R25" i="73"/>
  <c r="R15" i="73"/>
  <c r="B53" i="73"/>
  <c r="H38" i="73"/>
  <c r="R33" i="73"/>
  <c r="R23" i="73"/>
  <c r="R24" i="73"/>
  <c r="R14" i="73"/>
  <c r="E54" i="73"/>
  <c r="I38" i="73"/>
  <c r="R34" i="73"/>
  <c r="D38" i="73"/>
  <c r="R11" i="73"/>
  <c r="C38" i="73"/>
  <c r="R10" i="73"/>
  <c r="F38" i="73"/>
  <c r="R13" i="73"/>
  <c r="G58" i="73"/>
  <c r="G57" i="73"/>
  <c r="G55" i="73"/>
  <c r="B66" i="73"/>
  <c r="C66" i="73" s="1"/>
  <c r="F37" i="60"/>
  <c r="F23" i="58"/>
  <c r="E68" i="27"/>
  <c r="F23" i="57"/>
  <c r="G53" i="73" l="1"/>
  <c r="B60" i="73"/>
  <c r="G54" i="73"/>
  <c r="E60" i="73"/>
  <c r="R10" i="46"/>
  <c r="R6" i="67" s="1"/>
  <c r="Q10" i="46"/>
  <c r="Q6" i="67" s="1"/>
  <c r="P10" i="46"/>
  <c r="P6" i="67" s="1"/>
  <c r="L10" i="46"/>
  <c r="L6" i="67" s="1"/>
  <c r="G10" i="46"/>
  <c r="G6" i="67" s="1"/>
  <c r="O10" i="46"/>
  <c r="O6" i="67" s="1"/>
  <c r="M10" i="46"/>
  <c r="M6" i="67" s="1"/>
  <c r="K10" i="46"/>
  <c r="K6" i="67" s="1"/>
  <c r="J10" i="46"/>
  <c r="J6" i="67" s="1"/>
  <c r="I10" i="46"/>
  <c r="I6" i="67" s="1"/>
  <c r="H10" i="46"/>
  <c r="H6" i="67" s="1"/>
  <c r="F10" i="46"/>
  <c r="F6" i="67" s="1"/>
  <c r="D10" i="46"/>
  <c r="D6" i="67" s="1"/>
  <c r="C10" i="46"/>
  <c r="C6" i="67" s="1"/>
  <c r="B10" i="46"/>
  <c r="B6" i="67" s="1"/>
  <c r="G60" i="73" l="1"/>
  <c r="B65" i="73" s="1"/>
  <c r="C65" i="73" s="1"/>
  <c r="G5" i="50"/>
  <c r="G6" i="50"/>
  <c r="G7" i="50"/>
  <c r="G8" i="50"/>
  <c r="G9" i="50"/>
  <c r="G4" i="50"/>
  <c r="G3" i="50"/>
  <c r="B23" i="50"/>
  <c r="D10" i="50"/>
  <c r="E10" i="50"/>
  <c r="F10" i="50"/>
  <c r="B10" i="50"/>
  <c r="A9" i="65" s="1"/>
  <c r="C10" i="50"/>
  <c r="B12" i="50"/>
  <c r="B22" i="50" s="1"/>
  <c r="F28" i="50"/>
  <c r="E28" i="50"/>
  <c r="D28" i="50"/>
  <c r="C28" i="50"/>
  <c r="G23" i="50" l="1"/>
  <c r="G13" i="50" s="1"/>
  <c r="B30" i="50"/>
  <c r="G28" i="50"/>
  <c r="G18" i="50" s="1"/>
  <c r="B20" i="50" l="1"/>
  <c r="B9" i="65"/>
  <c r="B20" i="46" l="1"/>
  <c r="B3" i="71" s="1"/>
  <c r="B6" i="71" l="1"/>
  <c r="B3" i="55"/>
  <c r="H4" i="61" s="1"/>
  <c r="E67" i="27"/>
  <c r="E70" i="27"/>
  <c r="E66" i="27"/>
  <c r="E53" i="27"/>
  <c r="E54" i="27"/>
  <c r="E55" i="27"/>
  <c r="E57" i="27"/>
  <c r="E58" i="27"/>
  <c r="E59" i="27"/>
  <c r="E61" i="27"/>
  <c r="E62" i="27"/>
  <c r="E52" i="27"/>
  <c r="N10" i="46"/>
  <c r="N6" i="67" s="1"/>
  <c r="A24" i="68" l="1"/>
  <c r="B10" i="68"/>
  <c r="C10" i="68"/>
  <c r="D10" i="68"/>
  <c r="E10" i="68"/>
  <c r="F10" i="68"/>
  <c r="G10" i="68"/>
  <c r="H10" i="68"/>
  <c r="I10" i="68"/>
  <c r="J10" i="68"/>
  <c r="K10" i="68"/>
  <c r="L10" i="68"/>
  <c r="B12" i="68"/>
  <c r="C12" i="68"/>
  <c r="D12" i="68"/>
  <c r="E12" i="68"/>
  <c r="F12" i="68"/>
  <c r="G12" i="68"/>
  <c r="H12" i="68"/>
  <c r="I12" i="68"/>
  <c r="J12" i="68"/>
  <c r="K12" i="68"/>
  <c r="L12" i="68"/>
  <c r="A9" i="68"/>
  <c r="A10" i="68"/>
  <c r="A11" i="68"/>
  <c r="A12" i="68"/>
  <c r="A23" i="68"/>
  <c r="U29" i="55" l="1"/>
  <c r="F10" i="62" l="1"/>
  <c r="A39" i="58"/>
  <c r="Z11" i="61" l="1"/>
  <c r="Z12" i="61"/>
  <c r="Z13" i="61"/>
  <c r="Z14" i="61"/>
  <c r="Z15" i="61"/>
  <c r="Z16" i="61"/>
  <c r="Z17" i="61"/>
  <c r="Z18" i="61"/>
  <c r="Z19" i="61"/>
  <c r="Z10" i="61"/>
  <c r="F11" i="61"/>
  <c r="F12" i="61"/>
  <c r="F13" i="61"/>
  <c r="F14" i="61"/>
  <c r="F15" i="61"/>
  <c r="F16" i="61"/>
  <c r="F17" i="61"/>
  <c r="F18" i="61"/>
  <c r="F19" i="61"/>
  <c r="F10" i="61"/>
  <c r="A4" i="55"/>
  <c r="A7" i="68" s="1"/>
  <c r="B7" i="68"/>
  <c r="C7" i="68"/>
  <c r="D7" i="68"/>
  <c r="E7" i="68"/>
  <c r="F7" i="68"/>
  <c r="G7" i="68"/>
  <c r="H7" i="68"/>
  <c r="I7" i="68"/>
  <c r="J7" i="68"/>
  <c r="K7" i="68"/>
  <c r="A6" i="68"/>
  <c r="B6" i="68"/>
  <c r="C6" i="68"/>
  <c r="D6" i="68"/>
  <c r="E6" i="68"/>
  <c r="F6" i="68"/>
  <c r="G6" i="68"/>
  <c r="H6" i="68"/>
  <c r="I6" i="68"/>
  <c r="J6" i="68"/>
  <c r="K6" i="68"/>
  <c r="L6" i="68"/>
  <c r="M6" i="68"/>
  <c r="N6" i="68"/>
  <c r="O6" i="68"/>
  <c r="P6" i="68"/>
  <c r="Q6" i="68"/>
  <c r="R6" i="68"/>
  <c r="R51" i="55"/>
  <c r="Q51" i="55"/>
  <c r="P51" i="55"/>
  <c r="O51" i="55"/>
  <c r="N51" i="55"/>
  <c r="M51" i="55"/>
  <c r="R37" i="55" l="1"/>
  <c r="Q37" i="55"/>
  <c r="P37" i="55"/>
  <c r="O37" i="55"/>
  <c r="N37" i="55"/>
  <c r="M37" i="55"/>
  <c r="Q20" i="55" l="1"/>
  <c r="C21" i="60"/>
  <c r="D12" i="60"/>
  <c r="G12" i="60" s="1"/>
  <c r="C7" i="60"/>
  <c r="C7" i="58"/>
  <c r="D24" i="60"/>
  <c r="G24" i="60" s="1"/>
  <c r="D47" i="60"/>
  <c r="A60" i="60"/>
  <c r="A41" i="57"/>
  <c r="A40" i="57"/>
  <c r="B3" i="58"/>
  <c r="P68" i="27" s="1"/>
  <c r="D26" i="58"/>
  <c r="A41" i="47"/>
  <c r="B3" i="57"/>
  <c r="F10" i="57"/>
  <c r="D12" i="57"/>
  <c r="G12" i="57" s="1"/>
  <c r="D26" i="57"/>
  <c r="E16" i="57"/>
  <c r="F16" i="57"/>
  <c r="A91" i="57"/>
  <c r="A75" i="57"/>
  <c r="A44" i="27"/>
  <c r="K52" i="27"/>
  <c r="L52" i="27" l="1"/>
  <c r="C4" i="62"/>
  <c r="P67" i="27"/>
  <c r="C11" i="58"/>
  <c r="D4" i="62"/>
  <c r="D12" i="58"/>
  <c r="G12" i="58" s="1"/>
  <c r="C17" i="62"/>
  <c r="D19" i="62" l="1"/>
  <c r="D23" i="62"/>
  <c r="C23" i="62"/>
  <c r="C19" i="62"/>
  <c r="D17" i="62"/>
  <c r="B17" i="62" l="1"/>
  <c r="D21" i="60"/>
  <c r="G21" i="60" s="1"/>
  <c r="B3" i="60"/>
  <c r="F24" i="50"/>
  <c r="E24" i="50"/>
  <c r="D24" i="50"/>
  <c r="C24" i="50"/>
  <c r="A10" i="65"/>
  <c r="A11" i="65"/>
  <c r="A13" i="65"/>
  <c r="A12" i="65"/>
  <c r="E4" i="62" l="1"/>
  <c r="E23" i="62" s="1"/>
  <c r="P70" i="27"/>
  <c r="G24" i="50"/>
  <c r="G14" i="50" s="1"/>
  <c r="E17" i="62"/>
  <c r="F4" i="62"/>
  <c r="B42" i="60"/>
  <c r="F23" i="62" l="1"/>
  <c r="F17" i="62"/>
  <c r="C11" i="60"/>
  <c r="R20" i="55"/>
  <c r="P20" i="55"/>
  <c r="O20" i="55"/>
  <c r="N20" i="55"/>
  <c r="M20" i="55"/>
  <c r="B11" i="46" l="1"/>
  <c r="L3" i="67" l="1"/>
  <c r="L5" i="67" s="1"/>
  <c r="G3" i="67"/>
  <c r="G5" i="67" s="1"/>
  <c r="B5" i="46"/>
  <c r="B22" i="46" s="1"/>
  <c r="B24" i="46" s="1"/>
  <c r="B26" i="46" l="1"/>
  <c r="B7" i="71"/>
  <c r="B39" i="46"/>
  <c r="B41" i="46" s="1"/>
  <c r="B42" i="46" s="1"/>
  <c r="B44" i="46" s="1"/>
  <c r="B49" i="46" s="1"/>
  <c r="B48" i="46"/>
  <c r="B29" i="46"/>
  <c r="L7" i="68"/>
  <c r="A23" i="48"/>
  <c r="B46" i="46" l="1"/>
  <c r="B10" i="71"/>
  <c r="B50" i="46"/>
  <c r="B8" i="71"/>
  <c r="B4" i="68"/>
  <c r="B5" i="68" s="1"/>
  <c r="B13" i="64"/>
  <c r="B3" i="64"/>
  <c r="B19" i="64" l="1"/>
  <c r="B16" i="64"/>
  <c r="B20" i="64"/>
  <c r="B11" i="71"/>
  <c r="B12" i="71"/>
  <c r="I62" i="27"/>
  <c r="J62" i="27" s="1"/>
  <c r="I61" i="27"/>
  <c r="J61" i="27" s="1"/>
  <c r="I59" i="27"/>
  <c r="J59" i="27" s="1"/>
  <c r="I58" i="27"/>
  <c r="J58" i="27" s="1"/>
  <c r="I55" i="27"/>
  <c r="J55" i="27" s="1"/>
  <c r="I54" i="27"/>
  <c r="J54" i="27" s="1"/>
  <c r="I53" i="27"/>
  <c r="J53" i="27" s="1"/>
  <c r="B19" i="71" l="1"/>
  <c r="B20" i="71" s="1"/>
  <c r="B17" i="71"/>
  <c r="H5" i="61" s="1"/>
  <c r="B3" i="67"/>
  <c r="B5" i="67" s="1"/>
  <c r="D25" i="27"/>
  <c r="I52" i="27"/>
  <c r="J52" i="27" s="1"/>
  <c r="I57" i="27"/>
  <c r="J57" i="27" s="1"/>
  <c r="I60" i="27"/>
  <c r="I63" i="27"/>
  <c r="I56" i="27"/>
  <c r="D22" i="27"/>
  <c r="K58" i="27" l="1"/>
  <c r="I5" i="46"/>
  <c r="K53" i="27"/>
  <c r="C5" i="46"/>
  <c r="K54" i="27"/>
  <c r="D5" i="46"/>
  <c r="C7" i="57"/>
  <c r="A40" i="47"/>
  <c r="L53" i="27" l="1"/>
  <c r="L58" i="27"/>
  <c r="L54" i="27"/>
  <c r="C11" i="46"/>
  <c r="C22" i="46"/>
  <c r="C24" i="46" s="1"/>
  <c r="D11" i="46"/>
  <c r="D22" i="46"/>
  <c r="D24" i="46" s="1"/>
  <c r="I11" i="46"/>
  <c r="I22" i="46"/>
  <c r="I24" i="46" s="1"/>
  <c r="K57" i="27"/>
  <c r="H5" i="46"/>
  <c r="K55" i="27"/>
  <c r="C10" i="36"/>
  <c r="D12" i="47"/>
  <c r="G12" i="47" s="1"/>
  <c r="L55" i="27" l="1"/>
  <c r="L57" i="27"/>
  <c r="E56" i="27"/>
  <c r="I26" i="46"/>
  <c r="I39" i="46"/>
  <c r="I41" i="46" s="1"/>
  <c r="I42" i="46" s="1"/>
  <c r="I44" i="46" s="1"/>
  <c r="I49" i="46" s="1"/>
  <c r="I7" i="71"/>
  <c r="I10" i="71" s="1"/>
  <c r="D7" i="71"/>
  <c r="D10" i="71" s="1"/>
  <c r="D39" i="46"/>
  <c r="D48" i="46" s="1"/>
  <c r="D26" i="46"/>
  <c r="D29" i="46" s="1"/>
  <c r="C26" i="46"/>
  <c r="C29" i="46" s="1"/>
  <c r="C39" i="46"/>
  <c r="C48" i="46" s="1"/>
  <c r="C7" i="71"/>
  <c r="C10" i="71" s="1"/>
  <c r="I29" i="46"/>
  <c r="H11" i="46"/>
  <c r="H22" i="46"/>
  <c r="H24" i="46" s="1"/>
  <c r="E11" i="46"/>
  <c r="E22" i="46"/>
  <c r="K66" i="27"/>
  <c r="C38" i="27"/>
  <c r="K60" i="27"/>
  <c r="K59" i="27"/>
  <c r="C11" i="57"/>
  <c r="D11" i="57" s="1"/>
  <c r="G11" i="57" s="1"/>
  <c r="D11" i="60"/>
  <c r="G11" i="60" s="1"/>
  <c r="D11" i="58"/>
  <c r="G11" i="58" s="1"/>
  <c r="C39" i="27"/>
  <c r="C11" i="47"/>
  <c r="L66" i="27" l="1"/>
  <c r="L59" i="27"/>
  <c r="C11" i="36"/>
  <c r="D41" i="46"/>
  <c r="D42" i="46" s="1"/>
  <c r="D44" i="46" s="1"/>
  <c r="D49" i="46" s="1"/>
  <c r="D50" i="46" s="1"/>
  <c r="I48" i="46"/>
  <c r="E60" i="27"/>
  <c r="H39" i="46"/>
  <c r="H41" i="46" s="1"/>
  <c r="H42" i="46" s="1"/>
  <c r="H44" i="46" s="1"/>
  <c r="H49" i="46" s="1"/>
  <c r="H26" i="46"/>
  <c r="H29" i="46" s="1"/>
  <c r="H7" i="71"/>
  <c r="H10" i="71" s="1"/>
  <c r="C41" i="46"/>
  <c r="C42" i="46" s="1"/>
  <c r="C44" i="46" s="1"/>
  <c r="C46" i="46" s="1"/>
  <c r="E24" i="46"/>
  <c r="C12" i="71"/>
  <c r="C11" i="71"/>
  <c r="I12" i="71"/>
  <c r="I11" i="71"/>
  <c r="D12" i="71"/>
  <c r="D11" i="71"/>
  <c r="I50" i="46"/>
  <c r="I8" i="71"/>
  <c r="I46" i="46"/>
  <c r="I3" i="64"/>
  <c r="I4" i="68"/>
  <c r="I5" i="68" s="1"/>
  <c r="I13" i="64"/>
  <c r="D3" i="64"/>
  <c r="D4" i="68"/>
  <c r="D5" i="68" s="1"/>
  <c r="D13" i="64"/>
  <c r="C4" i="68"/>
  <c r="C5" i="68" s="1"/>
  <c r="C3" i="64"/>
  <c r="C13" i="64"/>
  <c r="J11" i="46"/>
  <c r="J22" i="46"/>
  <c r="F11" i="46"/>
  <c r="F22" i="46"/>
  <c r="C13" i="57"/>
  <c r="D13" i="57" s="1"/>
  <c r="K67" i="27"/>
  <c r="C9" i="57"/>
  <c r="B21" i="57"/>
  <c r="C7" i="47"/>
  <c r="E5" i="48"/>
  <c r="D46" i="46" l="1"/>
  <c r="D8" i="71"/>
  <c r="C49" i="46"/>
  <c r="C8" i="71" s="1"/>
  <c r="L67" i="27"/>
  <c r="H48" i="46"/>
  <c r="D19" i="64"/>
  <c r="D16" i="64"/>
  <c r="D20" i="64"/>
  <c r="I19" i="64"/>
  <c r="I16" i="64"/>
  <c r="I20" i="64"/>
  <c r="C19" i="64"/>
  <c r="C20" i="64"/>
  <c r="C16" i="64"/>
  <c r="C50" i="46"/>
  <c r="D16" i="57"/>
  <c r="G16" i="57" s="1"/>
  <c r="G13" i="57"/>
  <c r="I19" i="71"/>
  <c r="I20" i="71" s="1"/>
  <c r="I17" i="71"/>
  <c r="O5" i="61" s="1"/>
  <c r="C19" i="71"/>
  <c r="C20" i="71" s="1"/>
  <c r="C3" i="67" s="1"/>
  <c r="C5" i="67" s="1"/>
  <c r="C17" i="71"/>
  <c r="I5" i="61" s="1"/>
  <c r="D19" i="71"/>
  <c r="D20" i="71" s="1"/>
  <c r="D17" i="71"/>
  <c r="J5" i="61" s="1"/>
  <c r="E39" i="46"/>
  <c r="E41" i="46" s="1"/>
  <c r="E42" i="46" s="1"/>
  <c r="E26" i="46"/>
  <c r="E29" i="46" s="1"/>
  <c r="E13" i="64" s="1"/>
  <c r="E7" i="71"/>
  <c r="E10" i="71" s="1"/>
  <c r="F10" i="71" s="1"/>
  <c r="F24" i="46"/>
  <c r="J24" i="46"/>
  <c r="H12" i="71"/>
  <c r="H11" i="71"/>
  <c r="I3" i="67"/>
  <c r="I5" i="67" s="1"/>
  <c r="H50" i="46"/>
  <c r="H8" i="71"/>
  <c r="H46" i="46"/>
  <c r="H4" i="68"/>
  <c r="H5" i="68" s="1"/>
  <c r="H13" i="64"/>
  <c r="H3" i="64"/>
  <c r="K11" i="46"/>
  <c r="K22" i="46"/>
  <c r="E4" i="68"/>
  <c r="B23" i="57"/>
  <c r="I23" i="57" s="1"/>
  <c r="C23" i="60"/>
  <c r="D23" i="60" s="1"/>
  <c r="G23" i="60" s="1"/>
  <c r="G12" i="48"/>
  <c r="B5" i="65" s="1"/>
  <c r="E12" i="48"/>
  <c r="G5" i="48"/>
  <c r="F29" i="50"/>
  <c r="F27" i="50"/>
  <c r="F26" i="50"/>
  <c r="F25" i="50"/>
  <c r="E29" i="50"/>
  <c r="E27" i="50"/>
  <c r="E26" i="50"/>
  <c r="E25" i="50"/>
  <c r="D29" i="50"/>
  <c r="D27" i="50"/>
  <c r="D26" i="50"/>
  <c r="D25" i="50"/>
  <c r="C29" i="50"/>
  <c r="C27" i="50"/>
  <c r="C26" i="50"/>
  <c r="C25" i="50"/>
  <c r="F12" i="50"/>
  <c r="F22" i="50" s="1"/>
  <c r="E12" i="50"/>
  <c r="E22" i="50" s="1"/>
  <c r="D12" i="50"/>
  <c r="D22" i="50" s="1"/>
  <c r="C12" i="50"/>
  <c r="C22" i="50" s="1"/>
  <c r="D18" i="27"/>
  <c r="D14" i="27"/>
  <c r="D10" i="27"/>
  <c r="H19" i="64" l="1"/>
  <c r="H16" i="64"/>
  <c r="H20" i="64"/>
  <c r="E16" i="64"/>
  <c r="E19" i="64"/>
  <c r="D3" i="67"/>
  <c r="D5" i="67" s="1"/>
  <c r="H19" i="71"/>
  <c r="H20" i="71" s="1"/>
  <c r="H17" i="71"/>
  <c r="N5" i="61" s="1"/>
  <c r="D30" i="50"/>
  <c r="B11" i="65" s="1"/>
  <c r="E44" i="46"/>
  <c r="E46" i="46" s="1"/>
  <c r="F7" i="71"/>
  <c r="F39" i="46"/>
  <c r="F41" i="46" s="1"/>
  <c r="F42" i="46" s="1"/>
  <c r="F44" i="46" s="1"/>
  <c r="F49" i="46" s="1"/>
  <c r="F8" i="71" s="1"/>
  <c r="F11" i="71" s="1"/>
  <c r="F26" i="46"/>
  <c r="F29" i="46" s="1"/>
  <c r="F4" i="68" s="1"/>
  <c r="J39" i="46"/>
  <c r="J41" i="46" s="1"/>
  <c r="J42" i="46" s="1"/>
  <c r="J44" i="46" s="1"/>
  <c r="J49" i="46" s="1"/>
  <c r="J8" i="71" s="1"/>
  <c r="J26" i="46"/>
  <c r="J29" i="46" s="1"/>
  <c r="J13" i="64" s="1"/>
  <c r="J7" i="71"/>
  <c r="J10" i="71" s="1"/>
  <c r="K24" i="46"/>
  <c r="H3" i="67"/>
  <c r="H5" i="67" s="1"/>
  <c r="L5" i="46"/>
  <c r="C30" i="50"/>
  <c r="B10" i="65" s="1"/>
  <c r="F30" i="50"/>
  <c r="B13" i="65" s="1"/>
  <c r="E30" i="50"/>
  <c r="G25" i="50"/>
  <c r="G15" i="50" s="1"/>
  <c r="G26" i="50"/>
  <c r="G16" i="50" s="1"/>
  <c r="G27" i="50"/>
  <c r="G17" i="50" s="1"/>
  <c r="G29" i="50"/>
  <c r="G19" i="50" s="1"/>
  <c r="G10" i="50"/>
  <c r="J16" i="64" l="1"/>
  <c r="E5" i="27"/>
  <c r="E4" i="27"/>
  <c r="E49" i="46"/>
  <c r="E8" i="71" s="1"/>
  <c r="E11" i="71" s="1"/>
  <c r="J11" i="71"/>
  <c r="J19" i="71" s="1"/>
  <c r="J20" i="71" s="1"/>
  <c r="F19" i="71"/>
  <c r="F20" i="71" s="1"/>
  <c r="F3" i="67" s="1"/>
  <c r="F5" i="67" s="1"/>
  <c r="F17" i="71"/>
  <c r="L5" i="61" s="1"/>
  <c r="E19" i="71"/>
  <c r="E20" i="71" s="1"/>
  <c r="E17" i="71"/>
  <c r="K5" i="61" s="1"/>
  <c r="F46" i="46"/>
  <c r="J4" i="68"/>
  <c r="J3" i="64"/>
  <c r="J46" i="46"/>
  <c r="J19" i="64" s="1"/>
  <c r="F13" i="64"/>
  <c r="K10" i="71"/>
  <c r="K7" i="71"/>
  <c r="K26" i="46"/>
  <c r="K29" i="46" s="1"/>
  <c r="K4" i="68" s="1"/>
  <c r="K39" i="46"/>
  <c r="K41" i="46" s="1"/>
  <c r="K42" i="46" s="1"/>
  <c r="K44" i="46" s="1"/>
  <c r="K49" i="46" s="1"/>
  <c r="K8" i="71" s="1"/>
  <c r="L11" i="46"/>
  <c r="L22" i="46"/>
  <c r="F20" i="50"/>
  <c r="D20" i="50"/>
  <c r="E20" i="50"/>
  <c r="B12" i="65"/>
  <c r="C20" i="50"/>
  <c r="G30" i="50"/>
  <c r="J17" i="71" l="1"/>
  <c r="P5" i="61" s="1"/>
  <c r="F16" i="64"/>
  <c r="F19" i="64"/>
  <c r="E3" i="67"/>
  <c r="E5" i="67" s="1"/>
  <c r="E5" i="68"/>
  <c r="J5" i="68"/>
  <c r="F5" i="68"/>
  <c r="J3" i="67"/>
  <c r="J5" i="67" s="1"/>
  <c r="K11" i="71"/>
  <c r="L24" i="46"/>
  <c r="K13" i="64"/>
  <c r="K3" i="64"/>
  <c r="K46" i="46"/>
  <c r="B14" i="65"/>
  <c r="G20" i="50"/>
  <c r="D24" i="27"/>
  <c r="E24" i="27" s="1"/>
  <c r="E3" i="48"/>
  <c r="E6" i="48" s="1"/>
  <c r="E14" i="48" s="1"/>
  <c r="K19" i="64" l="1"/>
  <c r="K16" i="64"/>
  <c r="K19" i="71"/>
  <c r="K20" i="71" s="1"/>
  <c r="K5" i="68" s="1"/>
  <c r="K17" i="71"/>
  <c r="Q5" i="61" s="1"/>
  <c r="L26" i="46"/>
  <c r="L29" i="46" s="1"/>
  <c r="L4" i="68" s="1"/>
  <c r="L5" i="68" s="1"/>
  <c r="L39" i="46"/>
  <c r="L41" i="46" s="1"/>
  <c r="L42" i="46" s="1"/>
  <c r="L44" i="46" s="1"/>
  <c r="L49" i="46" s="1"/>
  <c r="L8" i="71" s="1"/>
  <c r="L7" i="71"/>
  <c r="E25" i="27"/>
  <c r="G3" i="48"/>
  <c r="E22" i="27"/>
  <c r="L13" i="64" l="1"/>
  <c r="L3" i="64"/>
  <c r="K3" i="67"/>
  <c r="K5" i="67" s="1"/>
  <c r="L46" i="46"/>
  <c r="R5" i="61"/>
  <c r="G6" i="48"/>
  <c r="B4" i="65" s="1"/>
  <c r="D23" i="27"/>
  <c r="E23" i="27" s="1"/>
  <c r="L19" i="64" l="1"/>
  <c r="L16" i="64"/>
  <c r="G14" i="48"/>
  <c r="E10" i="57"/>
  <c r="G16" i="48" l="1"/>
  <c r="C3" i="27"/>
  <c r="E3" i="27" s="1"/>
  <c r="B6" i="65"/>
  <c r="B7" i="65"/>
  <c r="D11" i="47"/>
  <c r="G11" i="47" s="1"/>
  <c r="D26" i="47"/>
  <c r="B16" i="65" l="1"/>
  <c r="D8" i="27" l="1"/>
  <c r="C5" i="36" s="1"/>
  <c r="D12" i="27"/>
  <c r="C6" i="36" s="1"/>
  <c r="D16" i="27"/>
  <c r="C7" i="36" s="1"/>
  <c r="D40" i="27" l="1"/>
  <c r="D39" i="27"/>
  <c r="I70" i="27"/>
  <c r="J70" i="27" s="1"/>
  <c r="I66" i="27"/>
  <c r="J66" i="27" s="1"/>
  <c r="E16" i="27"/>
  <c r="J16" i="27" s="1"/>
  <c r="E12" i="27"/>
  <c r="J12" i="27" s="1"/>
  <c r="E10" i="27"/>
  <c r="J10" i="27" s="1"/>
  <c r="E14" i="27"/>
  <c r="J14" i="27" s="1"/>
  <c r="E18" i="27"/>
  <c r="J18" i="27" s="1"/>
  <c r="N22" i="46" l="1"/>
  <c r="K62" i="27"/>
  <c r="I67" i="27"/>
  <c r="J67" i="27" s="1"/>
  <c r="K61" i="27"/>
  <c r="M5" i="46"/>
  <c r="M22" i="46" s="1"/>
  <c r="E8" i="27"/>
  <c r="L62" i="27" l="1"/>
  <c r="L61" i="27"/>
  <c r="J8" i="27"/>
  <c r="N24" i="46"/>
  <c r="M11" i="46"/>
  <c r="N11" i="46"/>
  <c r="D38" i="27"/>
  <c r="D42" i="27" s="1"/>
  <c r="C40" i="27"/>
  <c r="N26" i="46" l="1"/>
  <c r="N29" i="46" s="1"/>
  <c r="N3" i="64" s="1"/>
  <c r="N7" i="71"/>
  <c r="N39" i="46"/>
  <c r="N41" i="46" s="1"/>
  <c r="N42" i="46" s="1"/>
  <c r="N44" i="46" s="1"/>
  <c r="N49" i="46" s="1"/>
  <c r="N8" i="71" s="1"/>
  <c r="N11" i="71" s="1"/>
  <c r="M24" i="46"/>
  <c r="O11" i="46"/>
  <c r="O22" i="46"/>
  <c r="E17" i="27"/>
  <c r="E13" i="27"/>
  <c r="N4" i="68" l="1"/>
  <c r="N13" i="64"/>
  <c r="N46" i="46"/>
  <c r="N19" i="71"/>
  <c r="N17" i="71"/>
  <c r="E15" i="27"/>
  <c r="J15" i="27" s="1"/>
  <c r="J13" i="27"/>
  <c r="E19" i="27"/>
  <c r="J19" i="27" s="1"/>
  <c r="J17" i="27"/>
  <c r="M26" i="46"/>
  <c r="M29" i="46" s="1"/>
  <c r="M4" i="68" s="1"/>
  <c r="M7" i="71"/>
  <c r="M39" i="46"/>
  <c r="M41" i="46" s="1"/>
  <c r="M42" i="46" s="1"/>
  <c r="M44" i="46" s="1"/>
  <c r="M46" i="46" s="1"/>
  <c r="N4" i="74"/>
  <c r="N21" i="74" s="1"/>
  <c r="O24" i="46"/>
  <c r="N19" i="64" l="1"/>
  <c r="N16" i="64"/>
  <c r="M3" i="64"/>
  <c r="M13" i="64"/>
  <c r="T27" i="61"/>
  <c r="N20" i="71"/>
  <c r="N5" i="68" s="1"/>
  <c r="O26" i="46"/>
  <c r="O29" i="46" s="1"/>
  <c r="O13" i="64" s="1"/>
  <c r="O39" i="46"/>
  <c r="O41" i="46" s="1"/>
  <c r="O42" i="46" s="1"/>
  <c r="O44" i="46" s="1"/>
  <c r="O7" i="71"/>
  <c r="M49" i="46"/>
  <c r="M8" i="71" s="1"/>
  <c r="M11" i="71" s="1"/>
  <c r="N10" i="74"/>
  <c r="N12" i="74" s="1"/>
  <c r="N14" i="74" s="1"/>
  <c r="N18" i="74" s="1"/>
  <c r="N4" i="55"/>
  <c r="N7" i="68" s="1"/>
  <c r="E9" i="27"/>
  <c r="E11" i="27" s="1"/>
  <c r="J11" i="27" s="1"/>
  <c r="T35" i="61" l="1"/>
  <c r="AC35" i="61" s="1"/>
  <c r="T34" i="61"/>
  <c r="T32" i="61"/>
  <c r="T36" i="61"/>
  <c r="T31" i="61"/>
  <c r="T33" i="61"/>
  <c r="N11" i="68"/>
  <c r="M19" i="64"/>
  <c r="M16" i="64"/>
  <c r="O16" i="64"/>
  <c r="O3" i="64"/>
  <c r="O4" i="68"/>
  <c r="M4" i="55"/>
  <c r="M7" i="68" s="1"/>
  <c r="M19" i="71"/>
  <c r="M17" i="71"/>
  <c r="M10" i="74" s="1"/>
  <c r="M12" i="74" s="1"/>
  <c r="M14" i="74" s="1"/>
  <c r="M18" i="74" s="1"/>
  <c r="N3" i="67"/>
  <c r="N5" i="67" s="1"/>
  <c r="T28" i="61"/>
  <c r="AC36" i="61" s="1"/>
  <c r="AC31" i="61"/>
  <c r="J9" i="27"/>
  <c r="M4" i="74"/>
  <c r="M21" i="74" s="1"/>
  <c r="O49" i="46"/>
  <c r="O8" i="71" s="1"/>
  <c r="O11" i="71" s="1"/>
  <c r="O4" i="55" s="1"/>
  <c r="O7" i="68" s="1"/>
  <c r="O46" i="46"/>
  <c r="O19" i="64" s="1"/>
  <c r="T5" i="61"/>
  <c r="M11" i="68" l="1"/>
  <c r="O11" i="68"/>
  <c r="AC34" i="61"/>
  <c r="AC33" i="61"/>
  <c r="AC32" i="61"/>
  <c r="S27" i="61"/>
  <c r="M20" i="71"/>
  <c r="M5" i="68" s="1"/>
  <c r="O19" i="71"/>
  <c r="O17" i="71"/>
  <c r="O10" i="74"/>
  <c r="O12" i="74" s="1"/>
  <c r="O14" i="74" s="1"/>
  <c r="O18" i="74" s="1"/>
  <c r="O4" i="74"/>
  <c r="O21" i="74" s="1"/>
  <c r="S5" i="61"/>
  <c r="U5" i="61"/>
  <c r="E20" i="27"/>
  <c r="S36" i="61" l="1"/>
  <c r="AB36" i="61" s="1"/>
  <c r="S31" i="61"/>
  <c r="AB31" i="61" s="1"/>
  <c r="S34" i="61"/>
  <c r="AB34" i="61" s="1"/>
  <c r="S32" i="61"/>
  <c r="S33" i="61"/>
  <c r="AB33" i="61" s="1"/>
  <c r="S35" i="61"/>
  <c r="S10" i="61"/>
  <c r="S19" i="61"/>
  <c r="S17" i="61"/>
  <c r="S18" i="61"/>
  <c r="S16" i="61"/>
  <c r="S15" i="61"/>
  <c r="S12" i="61"/>
  <c r="S11" i="61"/>
  <c r="S14" i="61"/>
  <c r="S13" i="61"/>
  <c r="AC38" i="61"/>
  <c r="AC39" i="61" s="1"/>
  <c r="T39" i="61" s="1"/>
  <c r="U27" i="61"/>
  <c r="O20" i="71"/>
  <c r="O5" i="68" s="1"/>
  <c r="M3" i="67"/>
  <c r="M5" i="67" s="1"/>
  <c r="AB32" i="61"/>
  <c r="AB35" i="61"/>
  <c r="S28" i="61"/>
  <c r="J20" i="27"/>
  <c r="U34" i="61" l="1"/>
  <c r="U32" i="61"/>
  <c r="U35" i="61"/>
  <c r="U36" i="61"/>
  <c r="U31" i="61"/>
  <c r="U33" i="61"/>
  <c r="T38" i="61"/>
  <c r="N21" i="68" s="1"/>
  <c r="AB38" i="61"/>
  <c r="S38" i="61" s="1"/>
  <c r="M21" i="68" s="1"/>
  <c r="AB39" i="61"/>
  <c r="S39" i="61" s="1"/>
  <c r="O3" i="67"/>
  <c r="O5" i="67" s="1"/>
  <c r="U28" i="61"/>
  <c r="AD34" i="61" s="1"/>
  <c r="I71" i="27"/>
  <c r="I78" i="27" s="1"/>
  <c r="K63" i="27"/>
  <c r="E63" i="27" l="1"/>
  <c r="C12" i="36"/>
  <c r="AD31" i="61"/>
  <c r="AD33" i="61"/>
  <c r="AD32" i="61"/>
  <c r="AD36" i="61"/>
  <c r="AD35" i="61"/>
  <c r="C9" i="58"/>
  <c r="C9" i="60"/>
  <c r="AD38" i="61" l="1"/>
  <c r="AD39" i="61" s="1"/>
  <c r="U39" i="61" s="1"/>
  <c r="U38" i="61"/>
  <c r="O21" i="68" s="1"/>
  <c r="C13" i="58"/>
  <c r="D13" i="58" s="1"/>
  <c r="G13" i="58" s="1"/>
  <c r="B21" i="58"/>
  <c r="B23" i="58" s="1"/>
  <c r="I23" i="58" s="1"/>
  <c r="C13" i="60"/>
  <c r="B35" i="60"/>
  <c r="P5" i="46" l="1"/>
  <c r="P22" i="46" s="1"/>
  <c r="P24" i="46" l="1"/>
  <c r="P26" i="46" l="1"/>
  <c r="P29" i="46" s="1"/>
  <c r="P3" i="64" s="1"/>
  <c r="P39" i="46"/>
  <c r="P41" i="46" s="1"/>
  <c r="P42" i="46" s="1"/>
  <c r="P44" i="46" s="1"/>
  <c r="P7" i="71"/>
  <c r="P4" i="68" l="1"/>
  <c r="P13" i="64"/>
  <c r="P49" i="46"/>
  <c r="P8" i="71" s="1"/>
  <c r="P11" i="71" s="1"/>
  <c r="P46" i="46"/>
  <c r="P4" i="55"/>
  <c r="P19" i="64" l="1"/>
  <c r="P16" i="64"/>
  <c r="P7" i="68"/>
  <c r="P19" i="71"/>
  <c r="P17" i="71"/>
  <c r="P10" i="74" s="1"/>
  <c r="P12" i="74" s="1"/>
  <c r="P14" i="74" s="1"/>
  <c r="P18" i="74" s="1"/>
  <c r="P4" i="74"/>
  <c r="P21" i="74" s="1"/>
  <c r="E26" i="27"/>
  <c r="J26" i="27" s="1"/>
  <c r="P11" i="68" l="1"/>
  <c r="V5" i="61"/>
  <c r="V27" i="61"/>
  <c r="P20" i="71"/>
  <c r="E29" i="27"/>
  <c r="J29" i="27" s="1"/>
  <c r="V32" i="61" l="1"/>
  <c r="V35" i="61"/>
  <c r="V36" i="61"/>
  <c r="V34" i="61"/>
  <c r="V33" i="61"/>
  <c r="V31" i="61"/>
  <c r="P3" i="67"/>
  <c r="P5" i="67" s="1"/>
  <c r="P5" i="68"/>
  <c r="V28" i="61"/>
  <c r="AE33" i="61" s="1"/>
  <c r="AE31" i="61" l="1"/>
  <c r="AE32" i="61"/>
  <c r="AE34" i="61"/>
  <c r="AE36" i="61"/>
  <c r="AE35" i="61"/>
  <c r="J3" i="27"/>
  <c r="AE38" i="61" l="1"/>
  <c r="AE39" i="61" s="1"/>
  <c r="V39" i="61" s="1"/>
  <c r="V38" i="61"/>
  <c r="P21" i="68" s="1"/>
  <c r="C9" i="47"/>
  <c r="K25" i="47" s="1"/>
  <c r="B21" i="47"/>
  <c r="B23" i="47" l="1"/>
  <c r="I23" i="47" s="1"/>
  <c r="K23" i="47" s="1"/>
  <c r="C13" i="47"/>
  <c r="D13" i="47" s="1"/>
  <c r="K71" i="27"/>
  <c r="C13" i="36" l="1"/>
  <c r="D16" i="47"/>
  <c r="G16" i="47" s="1"/>
  <c r="G13" i="47"/>
  <c r="G5" i="46"/>
  <c r="D13" i="60"/>
  <c r="D16" i="58"/>
  <c r="G16" i="58" s="1"/>
  <c r="P11" i="46"/>
  <c r="D28" i="60"/>
  <c r="G28" i="60" s="1"/>
  <c r="C20" i="60"/>
  <c r="K70" i="27"/>
  <c r="C41" i="27"/>
  <c r="L70" i="27" l="1"/>
  <c r="K73" i="27"/>
  <c r="C14" i="36"/>
  <c r="C16" i="36" s="1"/>
  <c r="E71" i="27"/>
  <c r="D16" i="60"/>
  <c r="G16" i="60" s="1"/>
  <c r="G13" i="60"/>
  <c r="G11" i="46"/>
  <c r="G22" i="46"/>
  <c r="G24" i="46" s="1"/>
  <c r="B44" i="60"/>
  <c r="I44" i="60" s="1"/>
  <c r="C42" i="27"/>
  <c r="C37" i="27" s="1"/>
  <c r="B37" i="60"/>
  <c r="K85" i="27" l="1"/>
  <c r="N73" i="27" s="1"/>
  <c r="N76" i="27" s="1"/>
  <c r="Q5" i="46"/>
  <c r="I37" i="60"/>
  <c r="E73" i="27"/>
  <c r="G39" i="46"/>
  <c r="G48" i="46" s="1"/>
  <c r="G26" i="46"/>
  <c r="G29" i="46" s="1"/>
  <c r="G7" i="71"/>
  <c r="Q11" i="46"/>
  <c r="Q22" i="46"/>
  <c r="R5" i="46"/>
  <c r="B47" i="60"/>
  <c r="G41" i="46" l="1"/>
  <c r="G42" i="46" s="1"/>
  <c r="G44" i="46" s="1"/>
  <c r="G49" i="46" s="1"/>
  <c r="N85" i="27"/>
  <c r="N56" i="27"/>
  <c r="N80" i="27"/>
  <c r="N81" i="27"/>
  <c r="N68" i="27"/>
  <c r="N52" i="27"/>
  <c r="N53" i="27"/>
  <c r="N58" i="27"/>
  <c r="N54" i="27"/>
  <c r="N57" i="27"/>
  <c r="N55" i="27"/>
  <c r="N66" i="27"/>
  <c r="N59" i="27"/>
  <c r="N60" i="27"/>
  <c r="N67" i="27"/>
  <c r="N62" i="27"/>
  <c r="N61" i="27"/>
  <c r="N78" i="27"/>
  <c r="N82" i="27" s="1"/>
  <c r="N63" i="27"/>
  <c r="N71" i="27"/>
  <c r="N70" i="27"/>
  <c r="G46" i="46"/>
  <c r="Q24" i="46"/>
  <c r="G50" i="46"/>
  <c r="G8" i="71"/>
  <c r="R11" i="46"/>
  <c r="R22" i="46"/>
  <c r="G4" i="68"/>
  <c r="G5" i="68" s="1"/>
  <c r="G13" i="64"/>
  <c r="G3" i="64"/>
  <c r="J4" i="27"/>
  <c r="G20" i="64" l="1"/>
  <c r="G16" i="64"/>
  <c r="G19" i="64"/>
  <c r="Q26" i="46"/>
  <c r="Q29" i="46" s="1"/>
  <c r="Q4" i="68" s="1"/>
  <c r="Q39" i="46"/>
  <c r="Q41" i="46" s="1"/>
  <c r="Q42" i="46" s="1"/>
  <c r="Q44" i="46" s="1"/>
  <c r="Q49" i="46" s="1"/>
  <c r="Q8" i="71" s="1"/>
  <c r="Q11" i="71" s="1"/>
  <c r="Q7" i="71"/>
  <c r="R24" i="46"/>
  <c r="E6" i="27"/>
  <c r="Q19" i="71" l="1"/>
  <c r="Q17" i="71"/>
  <c r="Q10" i="74" s="1"/>
  <c r="Q12" i="74" s="1"/>
  <c r="Q14" i="74" s="1"/>
  <c r="Q18" i="74" s="1"/>
  <c r="Q3" i="64"/>
  <c r="Q46" i="46"/>
  <c r="Q13" i="64"/>
  <c r="Q4" i="74"/>
  <c r="Q21" i="74" s="1"/>
  <c r="R26" i="46"/>
  <c r="R29" i="46" s="1"/>
  <c r="R39" i="46"/>
  <c r="R41" i="46" s="1"/>
  <c r="R42" i="46" s="1"/>
  <c r="R44" i="46" s="1"/>
  <c r="R49" i="46" s="1"/>
  <c r="R8" i="71" s="1"/>
  <c r="R11" i="71" s="1"/>
  <c r="R7" i="71"/>
  <c r="Q4" i="55"/>
  <c r="E31" i="27"/>
  <c r="J5" i="27"/>
  <c r="Q16" i="64" l="1"/>
  <c r="Q19" i="64"/>
  <c r="W5" i="61"/>
  <c r="R19" i="71"/>
  <c r="R17" i="71"/>
  <c r="W27" i="61"/>
  <c r="Q20" i="71"/>
  <c r="Q7" i="68"/>
  <c r="R4" i="74"/>
  <c r="R21" i="74" s="1"/>
  <c r="J6" i="27"/>
  <c r="Q11" i="68" l="1"/>
  <c r="W32" i="61"/>
  <c r="W35" i="61"/>
  <c r="W33" i="61"/>
  <c r="W34" i="61"/>
  <c r="W36" i="61"/>
  <c r="W31" i="61"/>
  <c r="Q3" i="67"/>
  <c r="Q5" i="67" s="1"/>
  <c r="Q5" i="68"/>
  <c r="W28" i="61"/>
  <c r="AF34" i="61"/>
  <c r="X27" i="61"/>
  <c r="R20" i="71"/>
  <c r="J31" i="27"/>
  <c r="X35" i="61" l="1"/>
  <c r="X33" i="61"/>
  <c r="X36" i="61"/>
  <c r="X31" i="61"/>
  <c r="X32" i="61"/>
  <c r="X34" i="61"/>
  <c r="AF32" i="61"/>
  <c r="AF35" i="61"/>
  <c r="AF31" i="61"/>
  <c r="AF33" i="61"/>
  <c r="AF36" i="61"/>
  <c r="R3" i="67"/>
  <c r="R5" i="67" s="1"/>
  <c r="AF38" i="61" l="1"/>
  <c r="AF39" i="61"/>
  <c r="W39" i="61" s="1"/>
  <c r="W38" i="61"/>
  <c r="Q21" i="68" s="1"/>
  <c r="B7" i="60"/>
  <c r="D7" i="60" s="1"/>
  <c r="G7" i="60" s="1"/>
  <c r="B20" i="60"/>
  <c r="D20" i="60" s="1"/>
  <c r="B9" i="60"/>
  <c r="D9" i="60" s="1"/>
  <c r="G9" i="60" s="1"/>
  <c r="B9" i="57"/>
  <c r="D9" i="57" s="1"/>
  <c r="G9" i="57" s="1"/>
  <c r="B7" i="57"/>
  <c r="D7" i="57" s="1"/>
  <c r="B7" i="58"/>
  <c r="D7" i="58" s="1"/>
  <c r="G7" i="58" s="1"/>
  <c r="B9" i="47"/>
  <c r="D9" i="47" s="1"/>
  <c r="G9" i="47" s="1"/>
  <c r="N13" i="46"/>
  <c r="N14" i="46" s="1"/>
  <c r="I13" i="46"/>
  <c r="I14" i="46" s="1"/>
  <c r="D8" i="57" l="1"/>
  <c r="G8" i="57" s="1"/>
  <c r="G7" i="57"/>
  <c r="D22" i="60"/>
  <c r="G20" i="60"/>
  <c r="D8" i="58"/>
  <c r="I17" i="46"/>
  <c r="B9" i="58"/>
  <c r="D9" i="58" s="1"/>
  <c r="G9" i="58" s="1"/>
  <c r="J63" i="27"/>
  <c r="H13" i="46"/>
  <c r="H14" i="46" s="1"/>
  <c r="L60" i="27"/>
  <c r="J13" i="46"/>
  <c r="M13" i="46"/>
  <c r="D17" i="60"/>
  <c r="D8" i="60"/>
  <c r="L63" i="27"/>
  <c r="O6" i="46"/>
  <c r="O7" i="46" s="1"/>
  <c r="N17" i="46"/>
  <c r="N15" i="64" s="1"/>
  <c r="F60" i="27" l="1"/>
  <c r="I18" i="68"/>
  <c r="I15" i="64"/>
  <c r="F63" i="27"/>
  <c r="D10" i="57"/>
  <c r="D17" i="57" s="1"/>
  <c r="D10" i="60"/>
  <c r="G10" i="60" s="1"/>
  <c r="G8" i="60"/>
  <c r="O8" i="46"/>
  <c r="O9" i="46" s="1"/>
  <c r="O13" i="46" s="1"/>
  <c r="O14" i="46" s="1"/>
  <c r="O17" i="46" s="1"/>
  <c r="G8" i="58"/>
  <c r="M14" i="46"/>
  <c r="M17" i="46" s="1"/>
  <c r="K6" i="46"/>
  <c r="K7" i="46" s="1"/>
  <c r="J14" i="46"/>
  <c r="J17" i="46" s="1"/>
  <c r="D10" i="58"/>
  <c r="D17" i="58" s="1"/>
  <c r="I31" i="46"/>
  <c r="H17" i="46"/>
  <c r="J71" i="27"/>
  <c r="L71" i="27"/>
  <c r="J60" i="27"/>
  <c r="B11" i="36"/>
  <c r="B12" i="36"/>
  <c r="K8" i="46"/>
  <c r="C13" i="46"/>
  <c r="C14" i="46" s="1"/>
  <c r="B13" i="46"/>
  <c r="B14" i="46" s="1"/>
  <c r="D13" i="46"/>
  <c r="D14" i="46" s="1"/>
  <c r="D17" i="46" s="1"/>
  <c r="B7" i="47"/>
  <c r="D7" i="47" s="1"/>
  <c r="G7" i="47" s="1"/>
  <c r="E13" i="46"/>
  <c r="E14" i="46" s="1"/>
  <c r="E17" i="46" s="1"/>
  <c r="M31" i="46" l="1"/>
  <c r="M15" i="64"/>
  <c r="H18" i="68"/>
  <c r="H15" i="64"/>
  <c r="D31" i="46"/>
  <c r="D15" i="64"/>
  <c r="O31" i="46"/>
  <c r="O33" i="46" s="1"/>
  <c r="O35" i="46" s="1"/>
  <c r="O15" i="64"/>
  <c r="E31" i="46"/>
  <c r="E33" i="46" s="1"/>
  <c r="E35" i="46" s="1"/>
  <c r="E21" i="64" s="1"/>
  <c r="E15" i="64"/>
  <c r="J31" i="46"/>
  <c r="J33" i="46" s="1"/>
  <c r="J35" i="46" s="1"/>
  <c r="J15" i="64"/>
  <c r="F71" i="27"/>
  <c r="G10" i="57"/>
  <c r="G17" i="57" s="1"/>
  <c r="K9" i="46"/>
  <c r="K13" i="46" s="1"/>
  <c r="K14" i="46" s="1"/>
  <c r="K17" i="46" s="1"/>
  <c r="G10" i="58"/>
  <c r="I33" i="46"/>
  <c r="I35" i="46" s="1"/>
  <c r="D33" i="46"/>
  <c r="D35" i="46" s="1"/>
  <c r="M33" i="46"/>
  <c r="M35" i="46" s="1"/>
  <c r="H31" i="46"/>
  <c r="J18" i="68"/>
  <c r="B17" i="46"/>
  <c r="B15" i="64" s="1"/>
  <c r="C17" i="46"/>
  <c r="B13" i="36"/>
  <c r="N31" i="46"/>
  <c r="G17" i="60"/>
  <c r="J56" i="27"/>
  <c r="J78" i="27" s="1"/>
  <c r="L56" i="27"/>
  <c r="F6" i="46"/>
  <c r="F7" i="46" s="1"/>
  <c r="D8" i="47"/>
  <c r="M9" i="64" l="1"/>
  <c r="M21" i="64"/>
  <c r="M17" i="64"/>
  <c r="M18" i="64" s="1"/>
  <c r="J21" i="64"/>
  <c r="J7" i="64"/>
  <c r="O21" i="64"/>
  <c r="O9" i="64"/>
  <c r="K31" i="46"/>
  <c r="K15" i="64"/>
  <c r="I5" i="55"/>
  <c r="I9" i="68" s="1"/>
  <c r="I7" i="64"/>
  <c r="I11" i="64" s="1"/>
  <c r="I21" i="64"/>
  <c r="E17" i="64"/>
  <c r="C31" i="46"/>
  <c r="C15" i="64"/>
  <c r="I17" i="64"/>
  <c r="I18" i="64" s="1"/>
  <c r="I23" i="64" s="1"/>
  <c r="J17" i="64"/>
  <c r="J18" i="64" s="1"/>
  <c r="O17" i="64"/>
  <c r="D5" i="55"/>
  <c r="D9" i="68" s="1"/>
  <c r="D21" i="64"/>
  <c r="D5" i="64"/>
  <c r="D17" i="64"/>
  <c r="L73" i="27"/>
  <c r="F56" i="27"/>
  <c r="F8" i="46"/>
  <c r="F9" i="46" s="1"/>
  <c r="F13" i="46" s="1"/>
  <c r="F14" i="46" s="1"/>
  <c r="F17" i="46" s="1"/>
  <c r="G8" i="47"/>
  <c r="G17" i="58"/>
  <c r="M48" i="46"/>
  <c r="M20" i="64" s="1"/>
  <c r="O48" i="46"/>
  <c r="O20" i="64" s="1"/>
  <c r="J48" i="46"/>
  <c r="E48" i="46"/>
  <c r="E20" i="64" s="1"/>
  <c r="N33" i="46"/>
  <c r="N35" i="46" s="1"/>
  <c r="H33" i="46"/>
  <c r="H35" i="46" s="1"/>
  <c r="C33" i="46"/>
  <c r="C35" i="46" s="1"/>
  <c r="D10" i="47"/>
  <c r="G10" i="47" s="1"/>
  <c r="B31" i="46"/>
  <c r="C18" i="68"/>
  <c r="D18" i="68"/>
  <c r="K18" i="68"/>
  <c r="B18" i="68"/>
  <c r="D11" i="64"/>
  <c r="B10" i="36"/>
  <c r="B14" i="36" s="1"/>
  <c r="H5" i="55" l="1"/>
  <c r="H9" i="68" s="1"/>
  <c r="H7" i="64"/>
  <c r="H21" i="64"/>
  <c r="H17" i="64"/>
  <c r="H18" i="64" s="1"/>
  <c r="H23" i="64" s="1"/>
  <c r="N9" i="64"/>
  <c r="N11" i="64" s="1"/>
  <c r="N21" i="64"/>
  <c r="K33" i="46"/>
  <c r="K35" i="46" s="1"/>
  <c r="K17" i="64"/>
  <c r="F31" i="46"/>
  <c r="F33" i="46" s="1"/>
  <c r="F35" i="46" s="1"/>
  <c r="F21" i="64" s="1"/>
  <c r="F15" i="64"/>
  <c r="C5" i="55"/>
  <c r="C9" i="68" s="1"/>
  <c r="C5" i="64"/>
  <c r="C11" i="64" s="1"/>
  <c r="C21" i="64"/>
  <c r="N17" i="64"/>
  <c r="N18" i="64" s="1"/>
  <c r="C17" i="64"/>
  <c r="C18" i="64" s="1"/>
  <c r="C23" i="64" s="1"/>
  <c r="J12" i="71"/>
  <c r="J5" i="55" s="1"/>
  <c r="J9" i="68" s="1"/>
  <c r="J20" i="64"/>
  <c r="F73" i="27"/>
  <c r="L75" i="27"/>
  <c r="L76" i="27" s="1"/>
  <c r="O18" i="64"/>
  <c r="J50" i="46"/>
  <c r="E50" i="46"/>
  <c r="E12" i="71"/>
  <c r="E5" i="55" s="1"/>
  <c r="E9" i="68" s="1"/>
  <c r="O50" i="46"/>
  <c r="O12" i="71"/>
  <c r="M50" i="46"/>
  <c r="M12" i="71"/>
  <c r="M5" i="55" s="1"/>
  <c r="K18" i="64"/>
  <c r="M11" i="64"/>
  <c r="N48" i="46"/>
  <c r="I22" i="64"/>
  <c r="M22" i="64"/>
  <c r="M23" i="64" s="1"/>
  <c r="B33" i="46"/>
  <c r="B35" i="46" s="1"/>
  <c r="D18" i="64"/>
  <c r="D22" i="64" s="1"/>
  <c r="J11" i="64"/>
  <c r="D17" i="47"/>
  <c r="G17" i="47"/>
  <c r="B5" i="55" l="1"/>
  <c r="B9" i="68" s="1"/>
  <c r="B21" i="64"/>
  <c r="B5" i="64"/>
  <c r="B17" i="64"/>
  <c r="F17" i="64"/>
  <c r="K7" i="64"/>
  <c r="K11" i="64" s="1"/>
  <c r="K21" i="64"/>
  <c r="K22" i="64" s="1"/>
  <c r="K23" i="64" s="1"/>
  <c r="K48" i="46"/>
  <c r="N12" i="71"/>
  <c r="N5" i="55" s="1"/>
  <c r="N20" i="64"/>
  <c r="B15" i="36"/>
  <c r="B16" i="36" s="1"/>
  <c r="L82" i="27"/>
  <c r="M6" i="55"/>
  <c r="M8" i="55" s="1"/>
  <c r="M12" i="68" s="1"/>
  <c r="N22" i="64"/>
  <c r="N23" i="64" s="1"/>
  <c r="N50" i="46"/>
  <c r="B18" i="64"/>
  <c r="H22" i="64"/>
  <c r="S9" i="64"/>
  <c r="M15" i="55"/>
  <c r="M23" i="55" s="1"/>
  <c r="M9" i="68"/>
  <c r="H11" i="64"/>
  <c r="F48" i="46"/>
  <c r="F20" i="64" s="1"/>
  <c r="C22" i="64"/>
  <c r="B11" i="64"/>
  <c r="D23" i="64"/>
  <c r="O5" i="55"/>
  <c r="J22" i="64"/>
  <c r="J23" i="64" s="1"/>
  <c r="C9" i="62"/>
  <c r="C22" i="62" s="1"/>
  <c r="O22" i="64"/>
  <c r="O23" i="64" s="1"/>
  <c r="Q13" i="46"/>
  <c r="L13" i="46"/>
  <c r="L14" i="46" s="1"/>
  <c r="B24" i="69"/>
  <c r="S7" i="64" l="1"/>
  <c r="K12" i="71"/>
  <c r="K5" i="55" s="1"/>
  <c r="K9" i="68" s="1"/>
  <c r="K20" i="64"/>
  <c r="K50" i="46"/>
  <c r="M29" i="55"/>
  <c r="M31" i="55" s="1"/>
  <c r="M10" i="68"/>
  <c r="M22" i="74"/>
  <c r="M57" i="55"/>
  <c r="M15" i="68" s="1"/>
  <c r="B22" i="64"/>
  <c r="F50" i="46"/>
  <c r="F12" i="71"/>
  <c r="F5" i="55" s="1"/>
  <c r="F9" i="68" s="1"/>
  <c r="Q14" i="46"/>
  <c r="Q17" i="46" s="1"/>
  <c r="Q15" i="64" s="1"/>
  <c r="I26" i="57"/>
  <c r="L17" i="46"/>
  <c r="N6" i="55"/>
  <c r="N8" i="55" s="1"/>
  <c r="N9" i="68"/>
  <c r="O11" i="64"/>
  <c r="N15" i="55"/>
  <c r="N23" i="55" s="1"/>
  <c r="L18" i="68" l="1"/>
  <c r="L15" i="64"/>
  <c r="M43" i="55"/>
  <c r="M45" i="55" s="1"/>
  <c r="M19" i="74" s="1"/>
  <c r="M20" i="74" s="1"/>
  <c r="C11" i="62"/>
  <c r="C24" i="62" s="1"/>
  <c r="N22" i="74"/>
  <c r="N57" i="55"/>
  <c r="N15" i="68" s="1"/>
  <c r="L31" i="46"/>
  <c r="M33" i="55"/>
  <c r="M38" i="55" s="1"/>
  <c r="N12" i="68"/>
  <c r="N29" i="55"/>
  <c r="N10" i="68"/>
  <c r="O9" i="68"/>
  <c r="Q31" i="46"/>
  <c r="G13" i="46"/>
  <c r="G14" i="46" s="1"/>
  <c r="L17" i="64" l="1"/>
  <c r="M47" i="55"/>
  <c r="M52" i="55" s="1"/>
  <c r="M59" i="55" s="1"/>
  <c r="M17" i="68" s="1"/>
  <c r="N43" i="55"/>
  <c r="N45" i="55" s="1"/>
  <c r="N47" i="55" s="1"/>
  <c r="M23" i="74"/>
  <c r="M58" i="55"/>
  <c r="M16" i="68" s="1"/>
  <c r="Q33" i="46"/>
  <c r="Q35" i="46" s="1"/>
  <c r="L33" i="46"/>
  <c r="L35" i="46" s="1"/>
  <c r="G17" i="46"/>
  <c r="B9" i="62"/>
  <c r="B22" i="62" s="1"/>
  <c r="S7" i="61"/>
  <c r="N31" i="55"/>
  <c r="O15" i="55"/>
  <c r="O23" i="55" s="1"/>
  <c r="O6" i="55"/>
  <c r="O8" i="55" s="1"/>
  <c r="I26" i="47"/>
  <c r="K26" i="47" s="1"/>
  <c r="Q17" i="64" l="1"/>
  <c r="G18" i="68"/>
  <c r="G15" i="64"/>
  <c r="L8" i="64"/>
  <c r="L21" i="64"/>
  <c r="Q21" i="64"/>
  <c r="Q10" i="64"/>
  <c r="Q11" i="64" s="1"/>
  <c r="N19" i="74"/>
  <c r="N20" i="74" s="1"/>
  <c r="O22" i="74"/>
  <c r="N52" i="55"/>
  <c r="N59" i="55" s="1"/>
  <c r="N17" i="68" s="1"/>
  <c r="M60" i="55"/>
  <c r="M6" i="74" s="1"/>
  <c r="O57" i="55"/>
  <c r="O15" i="68" s="1"/>
  <c r="L18" i="64"/>
  <c r="L11" i="64"/>
  <c r="S8" i="64"/>
  <c r="L48" i="46"/>
  <c r="L20" i="64" s="1"/>
  <c r="Q48" i="46"/>
  <c r="Q20" i="64" s="1"/>
  <c r="Q18" i="64"/>
  <c r="Q22" i="64" s="1"/>
  <c r="Q23" i="64" s="1"/>
  <c r="G31" i="46"/>
  <c r="B11" i="62"/>
  <c r="B24" i="62" s="1"/>
  <c r="N33" i="55"/>
  <c r="N38" i="55" s="1"/>
  <c r="O29" i="55"/>
  <c r="O31" i="55" s="1"/>
  <c r="O10" i="68"/>
  <c r="N23" i="74" l="1"/>
  <c r="M18" i="68"/>
  <c r="M17" i="74"/>
  <c r="S6" i="61" s="1"/>
  <c r="AB15" i="61" s="1"/>
  <c r="M5" i="74"/>
  <c r="O43" i="55"/>
  <c r="O45" i="55" s="1"/>
  <c r="O47" i="55" s="1"/>
  <c r="L22" i="64"/>
  <c r="L23" i="64" s="1"/>
  <c r="O12" i="68"/>
  <c r="N58" i="55"/>
  <c r="N16" i="68" s="1"/>
  <c r="Q50" i="46"/>
  <c r="Q12" i="71"/>
  <c r="Q5" i="55" s="1"/>
  <c r="L5" i="55"/>
  <c r="L9" i="68" s="1"/>
  <c r="L50" i="46"/>
  <c r="G33" i="46"/>
  <c r="G35" i="46" s="1"/>
  <c r="T7" i="61"/>
  <c r="O33" i="55"/>
  <c r="O38" i="55" s="1"/>
  <c r="N60" i="55"/>
  <c r="N6" i="74" s="1"/>
  <c r="G17" i="64" l="1"/>
  <c r="G18" i="64" s="1"/>
  <c r="G23" i="64" s="1"/>
  <c r="G5" i="55"/>
  <c r="G9" i="68" s="1"/>
  <c r="G6" i="64"/>
  <c r="G21" i="64"/>
  <c r="AB18" i="61"/>
  <c r="AB13" i="61"/>
  <c r="AB14" i="61"/>
  <c r="AB16" i="61"/>
  <c r="AB11" i="61"/>
  <c r="AB12" i="61"/>
  <c r="AB10" i="61"/>
  <c r="AB17" i="61"/>
  <c r="AB19" i="61"/>
  <c r="Q9" i="68"/>
  <c r="O19" i="74"/>
  <c r="O20" i="74" s="1"/>
  <c r="O52" i="55"/>
  <c r="O59" i="55" s="1"/>
  <c r="O17" i="68" s="1"/>
  <c r="N5" i="74"/>
  <c r="N17" i="74"/>
  <c r="O58" i="55"/>
  <c r="O16" i="68" s="1"/>
  <c r="S6" i="64"/>
  <c r="Q15" i="55"/>
  <c r="Q23" i="55" s="1"/>
  <c r="Q6" i="55"/>
  <c r="Q29" i="55" s="1"/>
  <c r="Q31" i="55" s="1"/>
  <c r="N18" i="68"/>
  <c r="AB21" i="61" l="1"/>
  <c r="AB22" i="61" s="1"/>
  <c r="S22" i="61" s="1"/>
  <c r="O23" i="74"/>
  <c r="Q8" i="55"/>
  <c r="O60" i="55"/>
  <c r="O6" i="74" s="1"/>
  <c r="G11" i="64"/>
  <c r="Q57" i="55"/>
  <c r="Q15" i="68" s="1"/>
  <c r="G22" i="64"/>
  <c r="Q10" i="68"/>
  <c r="T6" i="61"/>
  <c r="Q33" i="55"/>
  <c r="Q38" i="55" s="1"/>
  <c r="Q58" i="55" s="1"/>
  <c r="Q16" i="68" s="1"/>
  <c r="U7" i="61"/>
  <c r="T17" i="61" l="1"/>
  <c r="AC17" i="61" s="1"/>
  <c r="T12" i="61"/>
  <c r="T15" i="61"/>
  <c r="AC15" i="61" s="1"/>
  <c r="T10" i="61"/>
  <c r="T18" i="61"/>
  <c r="AC18" i="61" s="1"/>
  <c r="T13" i="61"/>
  <c r="AC13" i="61" s="1"/>
  <c r="T16" i="61"/>
  <c r="T11" i="61"/>
  <c r="AC11" i="61" s="1"/>
  <c r="T19" i="61"/>
  <c r="AC19" i="61" s="1"/>
  <c r="T14" i="61"/>
  <c r="S21" i="61"/>
  <c r="M20" i="68" s="1"/>
  <c r="O17" i="74"/>
  <c r="U6" i="61" s="1"/>
  <c r="O5" i="74"/>
  <c r="I16" i="57"/>
  <c r="I14" i="57"/>
  <c r="I7" i="57"/>
  <c r="I13" i="57"/>
  <c r="I8" i="57"/>
  <c r="I15" i="57"/>
  <c r="I12" i="57"/>
  <c r="I11" i="57"/>
  <c r="I9" i="57"/>
  <c r="I10" i="57"/>
  <c r="C6" i="62" s="1"/>
  <c r="O18" i="68"/>
  <c r="Q43" i="55"/>
  <c r="Q45" i="55" s="1"/>
  <c r="Q19" i="74" s="1"/>
  <c r="Q20" i="74" s="1"/>
  <c r="Q22" i="74"/>
  <c r="AC10" i="61"/>
  <c r="AC16" i="61"/>
  <c r="AC14" i="61"/>
  <c r="AC12" i="61"/>
  <c r="Q12" i="68"/>
  <c r="U15" i="61" l="1"/>
  <c r="AD15" i="61" s="1"/>
  <c r="U10" i="61"/>
  <c r="U13" i="61"/>
  <c r="U18" i="61"/>
  <c r="U16" i="61"/>
  <c r="AD16" i="61" s="1"/>
  <c r="U11" i="61"/>
  <c r="U19" i="61"/>
  <c r="AD19" i="61" s="1"/>
  <c r="U14" i="61"/>
  <c r="AD14" i="61" s="1"/>
  <c r="U17" i="61"/>
  <c r="AD17" i="61" s="1"/>
  <c r="U12" i="61"/>
  <c r="AD12" i="61" s="1"/>
  <c r="C7" i="62"/>
  <c r="C20" i="62" s="1"/>
  <c r="I17" i="57"/>
  <c r="H23" i="57" s="1"/>
  <c r="AD10" i="61"/>
  <c r="AD13" i="61"/>
  <c r="AD11" i="61"/>
  <c r="AD18" i="61"/>
  <c r="Q23" i="74"/>
  <c r="AC21" i="61"/>
  <c r="Q47" i="55"/>
  <c r="W7" i="61"/>
  <c r="A22" i="57" l="1"/>
  <c r="Q67" i="27"/>
  <c r="C8" i="62"/>
  <c r="C21" i="62" s="1"/>
  <c r="I28" i="57"/>
  <c r="I29" i="57" s="1"/>
  <c r="Q52" i="55"/>
  <c r="Q60" i="55" s="1"/>
  <c r="AD21" i="61"/>
  <c r="AC22" i="61"/>
  <c r="T22" i="61" s="1"/>
  <c r="T21" i="61"/>
  <c r="H26" i="57" l="1"/>
  <c r="C13" i="62"/>
  <c r="C26" i="62" s="1"/>
  <c r="Q59" i="55"/>
  <c r="Q17" i="68" s="1"/>
  <c r="Q6" i="74"/>
  <c r="Q18" i="68"/>
  <c r="Q17" i="74"/>
  <c r="W6" i="61" s="1"/>
  <c r="Q5" i="74"/>
  <c r="AD22" i="61"/>
  <c r="U22" i="61" s="1"/>
  <c r="U21" i="61"/>
  <c r="O20" i="68" s="1"/>
  <c r="N20" i="68"/>
  <c r="W18" i="61" l="1"/>
  <c r="W13" i="61"/>
  <c r="W11" i="61"/>
  <c r="AF11" i="61" s="1"/>
  <c r="W16" i="61"/>
  <c r="W19" i="61"/>
  <c r="AF19" i="61" s="1"/>
  <c r="W14" i="61"/>
  <c r="W17" i="61"/>
  <c r="AF17" i="61" s="1"/>
  <c r="W12" i="61"/>
  <c r="AF12" i="61" s="1"/>
  <c r="W15" i="61"/>
  <c r="AF15" i="61" s="1"/>
  <c r="W10" i="61"/>
  <c r="AF10" i="61" s="1"/>
  <c r="C27" i="62"/>
  <c r="C14" i="62"/>
  <c r="AF18" i="61"/>
  <c r="AF16" i="61"/>
  <c r="AF13" i="61"/>
  <c r="AF14" i="61"/>
  <c r="AF21" i="61" l="1"/>
  <c r="E78" i="27"/>
  <c r="R46" i="46" l="1"/>
  <c r="AF22" i="61"/>
  <c r="W22" i="61" s="1"/>
  <c r="W21" i="61"/>
  <c r="Q20" i="68" s="1"/>
  <c r="R13" i="64"/>
  <c r="G22" i="60"/>
  <c r="D29" i="60"/>
  <c r="D31" i="60" s="1"/>
  <c r="R16" i="64" l="1"/>
  <c r="S16" i="64" s="1"/>
  <c r="R19" i="64"/>
  <c r="X5" i="61"/>
  <c r="R10" i="74"/>
  <c r="R12" i="74" s="1"/>
  <c r="R14" i="74" s="1"/>
  <c r="R18" i="74" s="1"/>
  <c r="R4" i="68"/>
  <c r="R5" i="68" s="1"/>
  <c r="R3" i="64"/>
  <c r="S13" i="64"/>
  <c r="S19" i="64"/>
  <c r="G29" i="60"/>
  <c r="G31" i="60" s="1"/>
  <c r="S4" i="68" l="1"/>
  <c r="X28" i="61"/>
  <c r="R4" i="55"/>
  <c r="R7" i="68" l="1"/>
  <c r="S5" i="68"/>
  <c r="R11" i="68" l="1"/>
  <c r="U7" i="68"/>
  <c r="I8" i="47"/>
  <c r="I13" i="47"/>
  <c r="I14" i="47"/>
  <c r="I9" i="47"/>
  <c r="I11" i="47"/>
  <c r="I7" i="47"/>
  <c r="I15" i="47"/>
  <c r="I12" i="47"/>
  <c r="I16" i="47"/>
  <c r="K16" i="47" s="1"/>
  <c r="I10" i="47"/>
  <c r="K10" i="47" s="1"/>
  <c r="U11" i="68"/>
  <c r="Y33" i="61"/>
  <c r="AG33" i="61"/>
  <c r="Y34" i="61"/>
  <c r="AG34" i="61"/>
  <c r="Y31" i="61"/>
  <c r="AG31" i="61"/>
  <c r="Y36" i="61"/>
  <c r="AG36" i="61"/>
  <c r="Y35" i="61"/>
  <c r="AG35" i="61"/>
  <c r="Y32" i="61"/>
  <c r="AG32" i="61"/>
  <c r="R13" i="46"/>
  <c r="R14" i="46" s="1"/>
  <c r="R17" i="46" s="1"/>
  <c r="J31" i="68" l="1"/>
  <c r="I31" i="68"/>
  <c r="G31" i="68"/>
  <c r="H31" i="68"/>
  <c r="F31" i="68"/>
  <c r="K31" i="68"/>
  <c r="L31" i="68"/>
  <c r="D31" i="68"/>
  <c r="B31" i="68"/>
  <c r="C31" i="68"/>
  <c r="E31" i="68"/>
  <c r="N31" i="68"/>
  <c r="O31" i="68"/>
  <c r="M31" i="68"/>
  <c r="P31" i="68"/>
  <c r="Q31" i="68"/>
  <c r="K27" i="68"/>
  <c r="J27" i="68"/>
  <c r="H27" i="68"/>
  <c r="I27" i="68"/>
  <c r="G27" i="68"/>
  <c r="L27" i="68"/>
  <c r="B27" i="68"/>
  <c r="S7" i="68" s="1"/>
  <c r="E27" i="68"/>
  <c r="D27" i="68"/>
  <c r="C27" i="68"/>
  <c r="F27" i="68"/>
  <c r="N27" i="68"/>
  <c r="M27" i="68"/>
  <c r="O27" i="68"/>
  <c r="P27" i="68"/>
  <c r="Q27" i="68"/>
  <c r="R27" i="68"/>
  <c r="R31" i="68"/>
  <c r="R31" i="46"/>
  <c r="R15" i="64"/>
  <c r="B6" i="62"/>
  <c r="B7" i="62"/>
  <c r="B20" i="62" s="1"/>
  <c r="I17" i="47"/>
  <c r="AG38" i="61"/>
  <c r="E9" i="62"/>
  <c r="E22" i="62" s="1"/>
  <c r="I47" i="60"/>
  <c r="R33" i="46" l="1"/>
  <c r="R35" i="46" s="1"/>
  <c r="K17" i="47"/>
  <c r="H23" i="47"/>
  <c r="Q66" i="27" s="1"/>
  <c r="A22" i="47"/>
  <c r="B8" i="62"/>
  <c r="B21" i="62" s="1"/>
  <c r="I28" i="47"/>
  <c r="K28" i="47" s="1"/>
  <c r="S11" i="68"/>
  <c r="AG39" i="61"/>
  <c r="X39" i="61" s="1"/>
  <c r="X38" i="61"/>
  <c r="E11" i="62"/>
  <c r="E24" i="62" s="1"/>
  <c r="R21" i="64" l="1"/>
  <c r="R10" i="64"/>
  <c r="R11" i="64" s="1"/>
  <c r="R48" i="46"/>
  <c r="R20" i="64" s="1"/>
  <c r="R17" i="64"/>
  <c r="R18" i="64" s="1"/>
  <c r="I29" i="47"/>
  <c r="H26" i="47"/>
  <c r="B13" i="62"/>
  <c r="B26" i="62" s="1"/>
  <c r="Y38" i="61"/>
  <c r="R21" i="68"/>
  <c r="R50" i="46" l="1"/>
  <c r="R12" i="71"/>
  <c r="R5" i="55" s="1"/>
  <c r="B27" i="62"/>
  <c r="B14" i="62"/>
  <c r="S21" i="68"/>
  <c r="B17" i="69"/>
  <c r="D17" i="69" s="1"/>
  <c r="Y39" i="61"/>
  <c r="R22" i="64"/>
  <c r="R23" i="64" s="1"/>
  <c r="R6" i="55" l="1"/>
  <c r="R8" i="55" s="1"/>
  <c r="R9" i="68"/>
  <c r="R15" i="55"/>
  <c r="R23" i="55" s="1"/>
  <c r="R22" i="74" l="1"/>
  <c r="R12" i="68"/>
  <c r="R57" i="55"/>
  <c r="R15" i="68" s="1"/>
  <c r="R29" i="55"/>
  <c r="R31" i="55" s="1"/>
  <c r="R10" i="68"/>
  <c r="I28" i="60" l="1"/>
  <c r="I21" i="60"/>
  <c r="I26" i="60"/>
  <c r="I24" i="60"/>
  <c r="I7" i="60"/>
  <c r="I12" i="60"/>
  <c r="I20" i="60"/>
  <c r="I16" i="60"/>
  <c r="E7" i="62" s="1"/>
  <c r="E20" i="62" s="1"/>
  <c r="I13" i="60"/>
  <c r="I11" i="60"/>
  <c r="I25" i="60"/>
  <c r="I23" i="60"/>
  <c r="I27" i="60"/>
  <c r="I9" i="60"/>
  <c r="I8" i="60"/>
  <c r="I15" i="60"/>
  <c r="I22" i="60"/>
  <c r="I14" i="60"/>
  <c r="R43" i="55"/>
  <c r="R45" i="55" s="1"/>
  <c r="R19" i="74" s="1"/>
  <c r="R20" i="74" s="1"/>
  <c r="R33" i="55"/>
  <c r="R38" i="55" s="1"/>
  <c r="I29" i="60" l="1"/>
  <c r="H44" i="60" s="1"/>
  <c r="R23" i="74"/>
  <c r="R58" i="55"/>
  <c r="R16" i="68" s="1"/>
  <c r="R47" i="55"/>
  <c r="R52" i="55" s="1"/>
  <c r="X7" i="61"/>
  <c r="A43" i="60" l="1"/>
  <c r="Q70" i="27"/>
  <c r="R59" i="55"/>
  <c r="R17" i="68" s="1"/>
  <c r="R60" i="55" l="1"/>
  <c r="R6" i="74" s="1"/>
  <c r="B23" i="64"/>
  <c r="R17" i="74" l="1"/>
  <c r="R5" i="74"/>
  <c r="R18" i="68"/>
  <c r="X6" i="61"/>
  <c r="X18" i="61" l="1"/>
  <c r="X13" i="61"/>
  <c r="AG13" i="61" s="1"/>
  <c r="X16" i="61"/>
  <c r="X11" i="61"/>
  <c r="AG11" i="61" s="1"/>
  <c r="X19" i="61"/>
  <c r="AG19" i="61" s="1"/>
  <c r="X14" i="61"/>
  <c r="AG14" i="61" s="1"/>
  <c r="X17" i="61"/>
  <c r="AG17" i="61" s="1"/>
  <c r="X12" i="61"/>
  <c r="AG12" i="61" s="1"/>
  <c r="X15" i="61"/>
  <c r="AG15" i="61" s="1"/>
  <c r="X10" i="61"/>
  <c r="AG10" i="61" s="1"/>
  <c r="AG18" i="61"/>
  <c r="AG16" i="61"/>
  <c r="AG21" i="61" l="1"/>
  <c r="F3" i="64"/>
  <c r="F5" i="64" s="1"/>
  <c r="AG22" i="61" l="1"/>
  <c r="X22" i="61" s="1"/>
  <c r="X21" i="61"/>
  <c r="R20" i="68" s="1"/>
  <c r="S5" i="67"/>
  <c r="B3" i="72" s="1"/>
  <c r="T6" i="67"/>
  <c r="F18" i="68"/>
  <c r="F18" i="64"/>
  <c r="E3" i="64"/>
  <c r="E18" i="64"/>
  <c r="S3" i="64" l="1"/>
  <c r="E5" i="64"/>
  <c r="T8" i="67"/>
  <c r="B8" i="72"/>
  <c r="F22" i="64"/>
  <c r="F23" i="64" s="1"/>
  <c r="S8" i="67"/>
  <c r="E18" i="68"/>
  <c r="S10" i="67" l="1"/>
  <c r="S9" i="67"/>
  <c r="T10" i="67"/>
  <c r="T9" i="67"/>
  <c r="B11" i="72"/>
  <c r="B6" i="72"/>
  <c r="B5" i="72"/>
  <c r="B7" i="69" s="1"/>
  <c r="B4" i="72"/>
  <c r="B9" i="72"/>
  <c r="E11" i="64"/>
  <c r="F11" i="64"/>
  <c r="E22" i="64"/>
  <c r="E23" i="64" s="1"/>
  <c r="B10" i="72" l="1"/>
  <c r="S5" i="64"/>
  <c r="D7" i="69"/>
  <c r="P13" i="46"/>
  <c r="P14" i="46" s="1"/>
  <c r="B5" i="69" l="1"/>
  <c r="B8" i="69"/>
  <c r="P17" i="46"/>
  <c r="D9" i="62"/>
  <c r="D22" i="62" s="1"/>
  <c r="I26" i="58"/>
  <c r="P31" i="46" l="1"/>
  <c r="P15" i="64"/>
  <c r="D5" i="69"/>
  <c r="B10" i="69"/>
  <c r="B9" i="69"/>
  <c r="D8" i="69"/>
  <c r="C9" i="69"/>
  <c r="C10" i="69" s="1"/>
  <c r="P33" i="46"/>
  <c r="P35" i="46" s="1"/>
  <c r="D11" i="62"/>
  <c r="D24" i="62" s="1"/>
  <c r="F9" i="62"/>
  <c r="F22" i="62" s="1"/>
  <c r="P10" i="64" l="1"/>
  <c r="P21" i="64"/>
  <c r="P17" i="64"/>
  <c r="D9" i="69"/>
  <c r="D10" i="69"/>
  <c r="S17" i="64"/>
  <c r="S10" i="64"/>
  <c r="P11" i="64"/>
  <c r="S11" i="64" s="1"/>
  <c r="S21" i="64"/>
  <c r="P48" i="46"/>
  <c r="S15" i="64"/>
  <c r="F11" i="62"/>
  <c r="F24" i="62" s="1"/>
  <c r="P20" i="64" l="1"/>
  <c r="S20" i="64" s="1"/>
  <c r="P18" i="64"/>
  <c r="S18" i="64" s="1"/>
  <c r="P50" i="46"/>
  <c r="P12" i="71"/>
  <c r="P5" i="55" s="1"/>
  <c r="P22" i="64" l="1"/>
  <c r="P9" i="68"/>
  <c r="P6" i="55"/>
  <c r="P29" i="55" s="1"/>
  <c r="P15" i="55"/>
  <c r="P23" i="55" s="1"/>
  <c r="U9" i="68" l="1"/>
  <c r="P29" i="68"/>
  <c r="B29" i="68"/>
  <c r="H29" i="68"/>
  <c r="S22" i="64"/>
  <c r="S23" i="64" s="1"/>
  <c r="B14" i="69" s="1"/>
  <c r="D14" i="69" s="1"/>
  <c r="P23" i="64"/>
  <c r="P10" i="68"/>
  <c r="P8" i="55"/>
  <c r="P12" i="68" s="1"/>
  <c r="P57" i="55"/>
  <c r="P15" i="68" s="1"/>
  <c r="P31" i="55"/>
  <c r="U10" i="68" l="1"/>
  <c r="P30" i="68"/>
  <c r="J29" i="68"/>
  <c r="E29" i="68"/>
  <c r="M29" i="68"/>
  <c r="N29" i="68"/>
  <c r="K29" i="68"/>
  <c r="F29" i="68"/>
  <c r="O29" i="68"/>
  <c r="Q29" i="68"/>
  <c r="R29" i="68"/>
  <c r="G29" i="68"/>
  <c r="L29" i="68"/>
  <c r="C29" i="68"/>
  <c r="S9" i="68" s="1"/>
  <c r="I29" i="68"/>
  <c r="D29" i="68"/>
  <c r="U15" i="68"/>
  <c r="P35" i="68" s="1"/>
  <c r="I30" i="68"/>
  <c r="G30" i="68"/>
  <c r="E30" i="68"/>
  <c r="D30" i="68"/>
  <c r="C30" i="68"/>
  <c r="L30" i="68"/>
  <c r="B30" i="68"/>
  <c r="J30" i="68"/>
  <c r="K30" i="68"/>
  <c r="P22" i="74"/>
  <c r="P43" i="55"/>
  <c r="P45" i="55" s="1"/>
  <c r="P19" i="74" s="1"/>
  <c r="P20" i="74" s="1"/>
  <c r="P33" i="55"/>
  <c r="P38" i="55" s="1"/>
  <c r="U12" i="68"/>
  <c r="M32" i="68" l="1"/>
  <c r="N32" i="68"/>
  <c r="O32" i="68"/>
  <c r="Q32" i="68"/>
  <c r="R32" i="68"/>
  <c r="M30" i="68"/>
  <c r="N30" i="68"/>
  <c r="O30" i="68"/>
  <c r="Q30" i="68"/>
  <c r="R30" i="68"/>
  <c r="N35" i="68"/>
  <c r="O35" i="68"/>
  <c r="Q35" i="68"/>
  <c r="R35" i="68"/>
  <c r="F30" i="68"/>
  <c r="S10" i="68" s="1"/>
  <c r="H30" i="68"/>
  <c r="P32" i="68"/>
  <c r="E32" i="68"/>
  <c r="D32" i="68"/>
  <c r="L32" i="68"/>
  <c r="C32" i="68"/>
  <c r="K32" i="68"/>
  <c r="B32" i="68"/>
  <c r="J32" i="68"/>
  <c r="I32" i="68"/>
  <c r="H32" i="68"/>
  <c r="F32" i="68"/>
  <c r="G32" i="68"/>
  <c r="H35" i="68"/>
  <c r="G35" i="68"/>
  <c r="F35" i="68"/>
  <c r="D35" i="68"/>
  <c r="E35" i="68"/>
  <c r="M35" i="68"/>
  <c r="C35" i="68"/>
  <c r="L35" i="68"/>
  <c r="B35" i="68"/>
  <c r="K35" i="68"/>
  <c r="I35" i="68"/>
  <c r="J35" i="68"/>
  <c r="P23" i="74"/>
  <c r="V7" i="61"/>
  <c r="P47" i="55"/>
  <c r="P52" i="55" s="1"/>
  <c r="P58" i="55"/>
  <c r="P16" i="68" s="1"/>
  <c r="S15" i="68" l="1"/>
  <c r="S12" i="68"/>
  <c r="P59" i="55"/>
  <c r="P17" i="68" s="1"/>
  <c r="U16" i="68"/>
  <c r="K36" i="68" l="1"/>
  <c r="J36" i="68"/>
  <c r="I36" i="68"/>
  <c r="G36" i="68"/>
  <c r="H36" i="68"/>
  <c r="P36" i="68"/>
  <c r="F36" i="68"/>
  <c r="E36" i="68"/>
  <c r="D36" i="68"/>
  <c r="L36" i="68"/>
  <c r="B36" i="68"/>
  <c r="M36" i="68"/>
  <c r="C36" i="68"/>
  <c r="N36" i="68"/>
  <c r="O36" i="68"/>
  <c r="Q36" i="68"/>
  <c r="R36" i="68"/>
  <c r="U17" i="68"/>
  <c r="P60" i="55"/>
  <c r="P6" i="74" s="1"/>
  <c r="M37" i="68" l="1"/>
  <c r="N37" i="68"/>
  <c r="O37" i="68"/>
  <c r="Q37" i="68"/>
  <c r="R37" i="68"/>
  <c r="P37" i="68"/>
  <c r="D37" i="68"/>
  <c r="C37" i="68"/>
  <c r="L37" i="68"/>
  <c r="B37" i="68"/>
  <c r="J37" i="68"/>
  <c r="K37" i="68"/>
  <c r="I37" i="68"/>
  <c r="H37" i="68"/>
  <c r="G37" i="68"/>
  <c r="E37" i="68"/>
  <c r="F37" i="68"/>
  <c r="P17" i="74"/>
  <c r="V6" i="61" s="1"/>
  <c r="P5" i="74"/>
  <c r="S16" i="68"/>
  <c r="P18" i="68"/>
  <c r="V15" i="61" l="1"/>
  <c r="V10" i="61"/>
  <c r="AE10" i="61" s="1"/>
  <c r="V18" i="61"/>
  <c r="V13" i="61"/>
  <c r="AE13" i="61" s="1"/>
  <c r="V16" i="61"/>
  <c r="V11" i="61"/>
  <c r="V19" i="61"/>
  <c r="V14" i="61"/>
  <c r="V17" i="61"/>
  <c r="V12" i="61"/>
  <c r="S17" i="68"/>
  <c r="U18" i="68"/>
  <c r="M38" i="68" l="1"/>
  <c r="N38" i="68"/>
  <c r="O38" i="68"/>
  <c r="Q38" i="68"/>
  <c r="R38" i="68"/>
  <c r="P38" i="68"/>
  <c r="G38" i="68"/>
  <c r="F38" i="68"/>
  <c r="D38" i="68"/>
  <c r="E38" i="68"/>
  <c r="C38" i="68"/>
  <c r="L38" i="68"/>
  <c r="B38" i="68"/>
  <c r="K38" i="68"/>
  <c r="J38" i="68"/>
  <c r="H38" i="68"/>
  <c r="I38" i="68"/>
  <c r="Y13" i="61"/>
  <c r="Y11" i="61"/>
  <c r="AE11" i="61"/>
  <c r="Y16" i="61"/>
  <c r="AE16" i="61"/>
  <c r="Y18" i="61"/>
  <c r="AE18" i="61"/>
  <c r="Y19" i="61"/>
  <c r="AE19" i="61"/>
  <c r="Y14" i="61"/>
  <c r="AE14" i="61"/>
  <c r="Y17" i="61"/>
  <c r="AE17" i="61"/>
  <c r="Y12" i="61"/>
  <c r="AE12" i="61"/>
  <c r="Y15" i="61"/>
  <c r="AE15" i="61"/>
  <c r="Y10" i="61"/>
  <c r="S18" i="68" l="1"/>
  <c r="AE21" i="61"/>
  <c r="AE22" i="61" s="1"/>
  <c r="V22" i="61" s="1"/>
  <c r="V21" i="61" l="1"/>
  <c r="P20" i="68" s="1"/>
  <c r="Y21" i="61"/>
  <c r="S20" i="68" l="1"/>
  <c r="B16" i="69"/>
  <c r="D16" i="69" s="1"/>
  <c r="Y22" i="61"/>
  <c r="I10" i="60"/>
  <c r="I17" i="60" l="1"/>
  <c r="H37" i="60" s="1"/>
  <c r="E6" i="62"/>
  <c r="E19" i="62" s="1"/>
  <c r="I49" i="60" l="1"/>
  <c r="I31" i="60"/>
  <c r="E8" i="62"/>
  <c r="E21" i="62" s="1"/>
  <c r="A36" i="60"/>
  <c r="E13" i="62" l="1"/>
  <c r="E26" i="62" s="1"/>
  <c r="H47" i="60"/>
  <c r="I50" i="60"/>
  <c r="E14" i="62" l="1"/>
  <c r="E27" i="62"/>
  <c r="B23" i="69" l="1"/>
  <c r="B26" i="69" s="1"/>
  <c r="B27" i="69" s="1"/>
  <c r="I8" i="58" l="1"/>
  <c r="I16" i="58"/>
  <c r="D7" i="62" s="1"/>
  <c r="D20" i="62" s="1"/>
  <c r="I14" i="58"/>
  <c r="I9" i="58"/>
  <c r="I15" i="58"/>
  <c r="I13" i="58"/>
  <c r="I7" i="58"/>
  <c r="I12" i="58"/>
  <c r="I11" i="58"/>
  <c r="I10" i="58"/>
  <c r="F7" i="62" l="1"/>
  <c r="F20" i="62" s="1"/>
  <c r="I17" i="58"/>
  <c r="H23" i="58" s="1"/>
  <c r="D6" i="62"/>
  <c r="F6" i="62" l="1"/>
  <c r="F19" i="62" s="1"/>
  <c r="Q68" i="27"/>
  <c r="D8" i="62"/>
  <c r="D21" i="62" s="1"/>
  <c r="I28" i="58"/>
  <c r="I29" i="58" s="1"/>
  <c r="A22" i="58"/>
  <c r="D13" i="62" l="1"/>
  <c r="D26" i="62" s="1"/>
  <c r="F8" i="62"/>
  <c r="F21" i="62" s="1"/>
  <c r="H26" i="58"/>
  <c r="D14" i="62" l="1"/>
  <c r="D27" i="62"/>
  <c r="F13" i="62"/>
  <c r="F26" i="62" s="1"/>
  <c r="F27" i="62" l="1"/>
  <c r="F14" i="62"/>
  <c r="B13" i="69" s="1"/>
  <c r="D13" i="69" s="1"/>
  <c r="L11" i="27" l="1"/>
  <c r="L14" i="27" l="1"/>
  <c r="L5" i="27"/>
  <c r="L28" i="27"/>
  <c r="L16" i="27"/>
  <c r="L26" i="27"/>
  <c r="L3" i="27"/>
  <c r="L9" i="27"/>
  <c r="L20" i="27"/>
  <c r="P20" i="27" s="1"/>
  <c r="L17" i="27"/>
  <c r="L4" i="27"/>
  <c r="L29" i="27"/>
  <c r="P29" i="27" s="1"/>
  <c r="L19" i="27"/>
  <c r="L10" i="27"/>
  <c r="L15" i="27"/>
  <c r="L13" i="27"/>
  <c r="L27" i="27"/>
  <c r="L12" i="27"/>
  <c r="L6" i="27"/>
  <c r="P6" i="27" s="1"/>
  <c r="L18" i="27"/>
  <c r="L8" i="27"/>
  <c r="G40" i="27" l="1"/>
  <c r="B7" i="36"/>
  <c r="B8" i="36"/>
  <c r="I36" i="27"/>
  <c r="I37" i="27" s="1"/>
  <c r="L31" i="27"/>
  <c r="P31" i="27" s="1"/>
  <c r="B4" i="36"/>
  <c r="E36" i="27"/>
  <c r="E37" i="27" s="1"/>
  <c r="G36" i="27"/>
  <c r="G37" i="27" s="1"/>
  <c r="G39" i="27"/>
  <c r="B6" i="36"/>
  <c r="G38" i="27"/>
  <c r="B5" i="36"/>
  <c r="E41" i="27" l="1"/>
  <c r="E40" i="27"/>
  <c r="E39" i="27"/>
  <c r="E38" i="27"/>
  <c r="E42" i="27" s="1"/>
  <c r="E43" i="27" s="1"/>
  <c r="I41" i="27"/>
  <c r="I40" i="27"/>
  <c r="I39" i="27"/>
  <c r="I38" i="27"/>
  <c r="I42" i="27" s="1"/>
  <c r="I43" i="27" s="1"/>
  <c r="G42" i="27"/>
  <c r="G43" i="27" s="1"/>
  <c r="B9" i="36"/>
  <c r="B18" i="36" s="1"/>
  <c r="B19" i="36" s="1"/>
  <c r="B12" i="69" s="1"/>
  <c r="D12" i="69" s="1"/>
  <c r="J36" i="27"/>
  <c r="J37" i="27" s="1"/>
  <c r="K31" i="27"/>
  <c r="J40" i="27" l="1"/>
  <c r="J39" i="27"/>
  <c r="J41" i="27"/>
  <c r="B21" i="69"/>
  <c r="D21" i="69" s="1"/>
  <c r="H70" i="27" l="1"/>
  <c r="H67" i="27"/>
  <c r="H68" i="27"/>
  <c r="H66" i="27"/>
  <c r="H71" i="27"/>
  <c r="H58" i="27"/>
  <c r="H59" i="27"/>
  <c r="H57" i="27"/>
  <c r="H60" i="27"/>
  <c r="H61" i="27"/>
  <c r="H62" i="27"/>
  <c r="H63" i="27"/>
  <c r="A65" i="27"/>
  <c r="J38" i="27"/>
  <c r="H54" i="27" l="1"/>
  <c r="H52" i="27"/>
  <c r="H55" i="27"/>
  <c r="H53" i="27"/>
  <c r="J42" i="27"/>
  <c r="J43" i="27" s="1"/>
  <c r="H56" i="27"/>
  <c r="B20" i="69"/>
  <c r="D20" i="69" s="1"/>
  <c r="L85" i="27" l="1"/>
  <c r="P85" i="27" l="1"/>
  <c r="O85" i="27"/>
  <c r="O59" i="27"/>
  <c r="O57" i="27"/>
  <c r="O82" i="27"/>
  <c r="O81" i="27"/>
  <c r="O80" i="27"/>
  <c r="O70" i="27"/>
  <c r="O67" i="27"/>
  <c r="O54" i="27"/>
  <c r="O52" i="27"/>
  <c r="O68" i="27"/>
  <c r="O55" i="27"/>
  <c r="O66" i="27"/>
  <c r="O53" i="27"/>
  <c r="O61" i="27"/>
  <c r="O58" i="27"/>
  <c r="O62" i="27"/>
  <c r="O60" i="27"/>
  <c r="O63" i="27"/>
  <c r="O71" i="27"/>
  <c r="O78" i="27"/>
  <c r="O56" i="27"/>
  <c r="O73" i="27"/>
  <c r="O76" i="27"/>
  <c r="L87" i="27"/>
  <c r="P87" i="27" s="1"/>
  <c r="L88" i="27" l="1"/>
  <c r="J83" i="27"/>
  <c r="I83" i="27" s="1"/>
  <c r="F78" i="27"/>
  <c r="I82" i="27"/>
</calcChain>
</file>

<file path=xl/sharedStrings.xml><?xml version="1.0" encoding="utf-8"?>
<sst xmlns="http://schemas.openxmlformats.org/spreadsheetml/2006/main" count="1458" uniqueCount="710">
  <si>
    <t>unit cost</t>
  </si>
  <si>
    <t>Site preparation</t>
  </si>
  <si>
    <t>physical contingency</t>
  </si>
  <si>
    <t>design &amp; management</t>
  </si>
  <si>
    <t>Total cost (base year)</t>
  </si>
  <si>
    <t>hard cost</t>
  </si>
  <si>
    <t>Land in off-grid clusters</t>
  </si>
  <si>
    <t>Land on local roads</t>
  </si>
  <si>
    <t>Land on secondaries</t>
  </si>
  <si>
    <t>Land on arteries</t>
  </si>
  <si>
    <t>Artery (regular)</t>
  </si>
  <si>
    <t>Artery x tertiary (corner)</t>
  </si>
  <si>
    <t>Artery x artery (corner)</t>
  </si>
  <si>
    <t>Artery x secondary (corner)</t>
  </si>
  <si>
    <t>Secondary x secondary (corner)</t>
  </si>
  <si>
    <t>Secondary x tertiary (corner)</t>
  </si>
  <si>
    <t>Secondary (regular)</t>
  </si>
  <si>
    <t>Tertiary x tertiary (corner)</t>
  </si>
  <si>
    <t>Tertiary (regular)</t>
  </si>
  <si>
    <t>Private land by location (in color code)</t>
  </si>
  <si>
    <t>Arteries (main roads)</t>
  </si>
  <si>
    <t>Secondaries (distributor roads)</t>
  </si>
  <si>
    <t>Tertiaries (access and local roads)</t>
  </si>
  <si>
    <t>Totals</t>
  </si>
  <si>
    <t>Item</t>
  </si>
  <si>
    <t>Public network,
 by network level (in color code)</t>
  </si>
  <si>
    <t>2-sided 
@100%</t>
  </si>
  <si>
    <t>1-sided 
@50%</t>
  </si>
  <si>
    <t>Subtotal project-borne</t>
  </si>
  <si>
    <t>Subtotal
project-borne</t>
  </si>
  <si>
    <t>by location 
(in color code)</t>
  </si>
  <si>
    <t>interest
 cost</t>
  </si>
  <si>
    <t>Cost recovered (amount)</t>
  </si>
  <si>
    <t>Spot costing is applicable to all lands: i.e. both private and public lands.</t>
  </si>
  <si>
    <t>Subtotal or average</t>
  </si>
  <si>
    <t>Connections to lots on secondaries</t>
  </si>
  <si>
    <t>Connections to lots on arteries</t>
  </si>
  <si>
    <t>Connections to lots on tertiaries</t>
  </si>
  <si>
    <t>Distribution (share of total)</t>
  </si>
  <si>
    <t>Land on arteries, subtotal</t>
  </si>
  <si>
    <t>Land on secondaries, subtotal</t>
  </si>
  <si>
    <t>Land on local roads, subtotal</t>
  </si>
  <si>
    <t>Land in urban blocks, subtotal</t>
  </si>
  <si>
    <t>Land in public streets, subtotal</t>
  </si>
  <si>
    <t>public network 
costs</t>
  </si>
  <si>
    <t>(a) from the spatial model</t>
  </si>
  <si>
    <t>(b) from the spot costing model</t>
  </si>
  <si>
    <t>quantity (a)</t>
  </si>
  <si>
    <t>Notes</t>
  </si>
  <si>
    <t>(1) from the city scale model</t>
  </si>
  <si>
    <t>All quantities from the spatial model</t>
  </si>
  <si>
    <r>
      <rPr>
        <b/>
        <sz val="9"/>
        <rFont val="Arial"/>
        <family val="2"/>
      </rPr>
      <t>Land uses,</t>
    </r>
    <r>
      <rPr>
        <sz val="9"/>
        <rFont val="Arial"/>
        <family val="2"/>
      </rPr>
      <t xml:space="preserve">
 by location (in color code)</t>
    </r>
  </si>
  <si>
    <r>
      <t xml:space="preserve">Public street network  </t>
    </r>
    <r>
      <rPr>
        <sz val="12"/>
        <color theme="1"/>
        <rFont val="Arial"/>
        <family val="2"/>
      </rPr>
      <t>(length)</t>
    </r>
  </si>
  <si>
    <t>FAR</t>
  </si>
  <si>
    <t>XL offices</t>
  </si>
  <si>
    <t>XXL offices</t>
  </si>
  <si>
    <t xml:space="preserve">S commercial, manufacturing, residential </t>
  </si>
  <si>
    <t>L retail, offices, residential</t>
  </si>
  <si>
    <t>M retail, offices, residential</t>
  </si>
  <si>
    <t>Off-grid partitions, subtotal</t>
  </si>
  <si>
    <t>Public 
streets</t>
  </si>
  <si>
    <t>Public
lands,
subtotal</t>
  </si>
  <si>
    <t>Private 
lands, 
subtotals</t>
  </si>
  <si>
    <t>on arteries</t>
  </si>
  <si>
    <t>on secondaries</t>
  </si>
  <si>
    <t>SM retail, offices, residential</t>
  </si>
  <si>
    <t>column H: profit input is Retorn on Investment (ROI)</t>
  </si>
  <si>
    <t>Off-site costs (e.g. trunk infra, if project borne)</t>
  </si>
  <si>
    <t>Connections to off-grid clusters</t>
  </si>
  <si>
    <t>on locals</t>
  </si>
  <si>
    <t>Connections to off-grid clusters, 1st</t>
  </si>
  <si>
    <t>on tertiaries</t>
  </si>
  <si>
    <t>Land on arteries, average/subtotal</t>
  </si>
  <si>
    <t>Land on secondaries, average/subtotal</t>
  </si>
  <si>
    <t>Land on local roads, average/subtotal</t>
  </si>
  <si>
    <t>Off-grid partitions, average/subtotal</t>
  </si>
  <si>
    <t>other</t>
  </si>
  <si>
    <t>street-based revenues (e.g. natural markets)</t>
  </si>
  <si>
    <t>Other</t>
  </si>
  <si>
    <t>Total</t>
  </si>
  <si>
    <t>Monthly household income</t>
  </si>
  <si>
    <t>Land price</t>
  </si>
  <si>
    <t>Off-grid clusters on arteries…</t>
  </si>
  <si>
    <t>Semi-private (collective) amenities</t>
  </si>
  <si>
    <t>Semi-private (collective) open spaces</t>
  </si>
  <si>
    <t>Semi-private (collective) network</t>
  </si>
  <si>
    <t>Off-grid clusters on secondaries…</t>
  </si>
  <si>
    <t>Other semi-private (collective) items, if any</t>
  </si>
  <si>
    <t>Semi-private (collective) development, subtotal</t>
  </si>
  <si>
    <t>area</t>
  </si>
  <si>
    <t>Environmental reservation</t>
  </si>
  <si>
    <t>Social reservation</t>
  </si>
  <si>
    <t>Reservations, outside neighborhod</t>
  </si>
  <si>
    <t>Neighborhood-scale
open spaces, 
subtotal</t>
  </si>
  <si>
    <t>City-scale 
public open spaces, subtotal</t>
  </si>
  <si>
    <t>City-scale public amenities, 
subtotal</t>
  </si>
  <si>
    <t>District-scale 
public open spaces, subtotal</t>
  </si>
  <si>
    <t>District-scale public amenities, 
subtotal</t>
  </si>
  <si>
    <t>Neighborhood-scale public amenities, 
subtotal</t>
  </si>
  <si>
    <t>District-scale public open spaces</t>
  </si>
  <si>
    <t>City-scale public open spaces</t>
  </si>
  <si>
    <t>City-scale amenities</t>
  </si>
  <si>
    <t>District-scale amenities</t>
  </si>
  <si>
    <t>Landowner 1</t>
  </si>
  <si>
    <t>Landowner 2</t>
  </si>
  <si>
    <t>Landowner 3</t>
  </si>
  <si>
    <t>Landowner 4</t>
  </si>
  <si>
    <t>Landowner 5</t>
  </si>
  <si>
    <t>environmental reservation</t>
  </si>
  <si>
    <t>subtotals</t>
  </si>
  <si>
    <t>Land areas</t>
  </si>
  <si>
    <t>average</t>
  </si>
  <si>
    <t>social 
reservation</t>
  </si>
  <si>
    <t>agricultural 
land</t>
  </si>
  <si>
    <t>urban 
land</t>
  </si>
  <si>
    <t>Land prices / values</t>
  </si>
  <si>
    <t>subtotal</t>
  </si>
  <si>
    <t>(b) per total area</t>
  </si>
  <si>
    <t>stakes</t>
  </si>
  <si>
    <t>allocation of costs and benefits across stakeholders</t>
  </si>
  <si>
    <t>allocation of costs and revenues across time/phases</t>
  </si>
  <si>
    <t>flows</t>
  </si>
  <si>
    <t>generation of cash flows (expenditures and revenues) across time, adjusted for inflation</t>
  </si>
  <si>
    <t>time</t>
  </si>
  <si>
    <t>phased budget with costs and benefits for all stakeholders across time, also determining the amounts to be borrowed and respective interest cost</t>
  </si>
  <si>
    <t>base-year cost before interest</t>
  </si>
  <si>
    <t>total cost
(base year)</t>
  </si>
  <si>
    <t>Other costs, if any</t>
  </si>
  <si>
    <t>Off-site revenues (e.g. value capture along trunk infra)</t>
  </si>
  <si>
    <t>Other revenues/benefits, if any</t>
  </si>
  <si>
    <t>City-scale budget: off-site costs and revenues (e.g. related to trunk infrastructure)</t>
  </si>
  <si>
    <t>Land costs (0)</t>
  </si>
  <si>
    <t>land
costs</t>
  </si>
  <si>
    <t>public space
costs</t>
  </si>
  <si>
    <t>Public network costs (w/o connections), subtotal</t>
  </si>
  <si>
    <t>Land-related costs, subtotal</t>
  </si>
  <si>
    <t>Public spaces costs, subtotal</t>
  </si>
  <si>
    <t>Area</t>
  </si>
  <si>
    <t>Semi-private / collective infra</t>
  </si>
  <si>
    <t>semi-private collective circulation</t>
  </si>
  <si>
    <t>semi-private collective green space</t>
  </si>
  <si>
    <t>Connections to individual subpartitions (lots)</t>
  </si>
  <si>
    <t>Revenues from individual serviced lots in off-grid clusters.</t>
  </si>
  <si>
    <t>Artery 
x artery (corner)</t>
  </si>
  <si>
    <t>Artery 
x secondary (corner)</t>
  </si>
  <si>
    <t>Artery 
x tertiary (corner)</t>
  </si>
  <si>
    <t>Artery 
(regular)</t>
  </si>
  <si>
    <t>Secondary 
x secondary (corner)</t>
  </si>
  <si>
    <t>Secondary 
x tertiary (corner)</t>
  </si>
  <si>
    <t>(x) costs may be shared with adjacent on-grid lots, e.g. in case of double use, such as entrances that also serve the back of the on-grid lot or that allow a bridge building on top of a gate, or access paths that only consume setbacks / side margins between on-grid buildings.</t>
  </si>
  <si>
    <t>Total land price, by location</t>
  </si>
  <si>
    <t>Other non-developable area</t>
  </si>
  <si>
    <t>Land use (city and neighborhood scale)</t>
  </si>
  <si>
    <t>Notes:</t>
  </si>
  <si>
    <t>user input in the financial model</t>
  </si>
  <si>
    <t>access areas on on-grid partitions</t>
  </si>
  <si>
    <t>less cost sharing with off-grid</t>
  </si>
  <si>
    <t>Public Spaces</t>
  </si>
  <si>
    <t>Land cost</t>
  </si>
  <si>
    <t>Arteries (main roads), subtotal</t>
  </si>
  <si>
    <t>Tertiaries (access and local roads), subtotal</t>
  </si>
  <si>
    <t>...per gross area</t>
  </si>
  <si>
    <t>total 
costs</t>
  </si>
  <si>
    <t>imputed value for calibration (x)</t>
  </si>
  <si>
    <t xml:space="preserve"> (x) after phasing, price contingencies and cost of finance (preview of budget results, with current settings)</t>
  </si>
  <si>
    <t>lot only</t>
  </si>
  <si>
    <t>Starter type</t>
  </si>
  <si>
    <t>apartments</t>
  </si>
  <si>
    <t>core</t>
  </si>
  <si>
    <t>roof</t>
  </si>
  <si>
    <t>shell</t>
  </si>
  <si>
    <t>residential floor area</t>
  </si>
  <si>
    <t>Design and management</t>
  </si>
  <si>
    <t>Physical contingency</t>
  </si>
  <si>
    <t>Profit margin</t>
  </si>
  <si>
    <t>Finance land separately (1=Yes, 0=No)</t>
  </si>
  <si>
    <t>nominal interest rate charged</t>
  </si>
  <si>
    <t>indexation to inflation / payment growth</t>
  </si>
  <si>
    <t>real interst rate applied</t>
  </si>
  <si>
    <t>Spot costing</t>
  </si>
  <si>
    <t>Off-grid partitions (2)</t>
  </si>
  <si>
    <t>Off-grid partitions, 1st (2)</t>
  </si>
  <si>
    <t>MSME manufacturing</t>
  </si>
  <si>
    <t xml:space="preserve">M commercial, manufacturing, residential </t>
  </si>
  <si>
    <t>MSME services</t>
  </si>
  <si>
    <t>entries for land use zoning dropdown menu</t>
  </si>
  <si>
    <r>
      <t xml:space="preserve">max. 
FAR
</t>
    </r>
    <r>
      <rPr>
        <sz val="9"/>
        <color theme="0" tint="-0.499984740745262"/>
        <rFont val="Arial"/>
        <family val="2"/>
      </rPr>
      <t>viable</t>
    </r>
  </si>
  <si>
    <t>Cost item</t>
  </si>
  <si>
    <t>Number of lots (a)</t>
  </si>
  <si>
    <t>Downpayment/cash subsidy</t>
  </si>
  <si>
    <r>
      <t xml:space="preserve">net area (a)
</t>
    </r>
    <r>
      <rPr>
        <sz val="8"/>
        <color theme="1"/>
        <rFont val="Arial"/>
        <family val="2"/>
      </rPr>
      <t>(partitions only)</t>
    </r>
  </si>
  <si>
    <t>these rows can be hidden</t>
  </si>
  <si>
    <t>(b) the spot costing model considers location specific infrastructure and land costs. Particularly, it considers that off-grid areas do not consume public networks (while they share costs for public open spaces and amenities).</t>
  </si>
  <si>
    <t>Base-year surplus (loss)</t>
  </si>
  <si>
    <t>revenues from (or 'value of') serviced land less cost for land, infrastructure and services</t>
  </si>
  <si>
    <t>Costs of adequate land development</t>
  </si>
  <si>
    <t>Revenues from serviced land, after differential pricing by location, permitted use and density</t>
  </si>
  <si>
    <t>(2) pricing from the neighborhood scale model</t>
  </si>
  <si>
    <t>Off-grid clusters on arteries: development of semi-private / collective lands</t>
  </si>
  <si>
    <t>semi-private (collective) spaces (a)</t>
  </si>
  <si>
    <t>revenue generating private lots (a)</t>
  </si>
  <si>
    <t xml:space="preserve">shared circulation, open spaces, and amenities </t>
  </si>
  <si>
    <t>differential profit</t>
  </si>
  <si>
    <t>differential 
price</t>
  </si>
  <si>
    <t>revenue</t>
  </si>
  <si>
    <t>Revenue, total</t>
  </si>
  <si>
    <t>Cost, total</t>
  </si>
  <si>
    <t>Other, if any</t>
  </si>
  <si>
    <t>e.g. from community facilities</t>
  </si>
  <si>
    <t>Financial efficiency</t>
  </si>
  <si>
    <t>area 
(a)</t>
  </si>
  <si>
    <t>hide sheet if value is zero</t>
  </si>
  <si>
    <t>(c) profit margin over base year cost</t>
  </si>
  <si>
    <t>Off-grid clusters on local roads: development of semi-private / collective lands</t>
  </si>
  <si>
    <t xml:space="preserve">differential profit (c) </t>
  </si>
  <si>
    <t>Revenues, by location (in color code)</t>
  </si>
  <si>
    <t>Costs, land &amp; site development</t>
  </si>
  <si>
    <t>(x) costs may be shared with on-grid lots in case of duplicate use, such as entrances that also serve the back of the on-grid lot or that allow a bridge building on top of a gate, or access paths that only consume setbacks / side margins between on-grid buildings.</t>
  </si>
  <si>
    <t>Off-grid clusters on secondaries: development of semi-private / collective lands</t>
  </si>
  <si>
    <t>total</t>
  </si>
  <si>
    <t>Connections to 1st level off-grid cluster</t>
  </si>
  <si>
    <t>Off-grid partitions, 1st level (2)</t>
  </si>
  <si>
    <t>Off-grid partitions, 2nd level (2)</t>
  </si>
  <si>
    <t>1st level cluster: land-related costs, subtotal</t>
  </si>
  <si>
    <t>2nd level cluster: land-related costs, subtotal</t>
  </si>
  <si>
    <t>1st level cluster: costs, subtotal</t>
  </si>
  <si>
    <t>2nd level cluster: costs, subtotal</t>
  </si>
  <si>
    <t>semi-private (collective) spaces, 1st level (a)</t>
  </si>
  <si>
    <t>revenue generating private lots, 1st level (a)</t>
  </si>
  <si>
    <t>semi-private (collective) spaces, 2nd level (a)</t>
  </si>
  <si>
    <t>revenue generating private lots, 2nd level (a)</t>
  </si>
  <si>
    <t>2nd level</t>
  </si>
  <si>
    <t>Connections from public network</t>
  </si>
  <si>
    <t>from 1st</t>
  </si>
  <si>
    <t>2-level off-grid clusters, 1st level</t>
  </si>
  <si>
    <t>Off-grid clusters</t>
  </si>
  <si>
    <t>Simple off-grid clusters</t>
  </si>
  <si>
    <t>(0) aggregates for all landowners (allows manual input or data transfer from the '1site' sheet)</t>
  </si>
  <si>
    <t>Finance starter dwelling separately (1=Yes, 0=No)</t>
  </si>
  <si>
    <t>Remaining cost to be financed (loan amount)</t>
  </si>
  <si>
    <t>Land cost to be financed (amount)</t>
  </si>
  <si>
    <t>Starter dwelling (support) cost to be financed (amount)</t>
  </si>
  <si>
    <t>Total downpayment, by household</t>
  </si>
  <si>
    <t>Total downpayment subsidy (cash support)</t>
  </si>
  <si>
    <t>Financing period, months</t>
  </si>
  <si>
    <t>Monthly payment for starter dwelling, only (initial)</t>
  </si>
  <si>
    <t>amount remaining at the end of the financing period (balloon)</t>
  </si>
  <si>
    <t>Downpayment, share</t>
  </si>
  <si>
    <t>…, amount</t>
  </si>
  <si>
    <t>Amount to be financed</t>
  </si>
  <si>
    <t>Note: here, the downpayment should be LARGE to save on interest payments.</t>
  </si>
  <si>
    <t>Note: again, the downpayment should be small; instead, downpayments should be allocated to higher-interest instruments (e.g. microloans) to save on interest payments, below.</t>
  </si>
  <si>
    <t>Note: again, also the subsidy should be small; instead, downpayments should be allocated to higher-interest instruments (e.g. microloans) to save on interest payments, below.</t>
  </si>
  <si>
    <t>Note: also the subsidy, if any, should be allocated here, mostly - in order to save on interest payments.</t>
  </si>
  <si>
    <t>Total cost, to be financed</t>
  </si>
  <si>
    <t>Note: dwelling costs to make a starter livable: e.g. to complete any unit with finishings, a shell with internal partition walls/slabs, or a starter roof with perimeter walls.</t>
  </si>
  <si>
    <t>Instrument 2: structure only</t>
  </si>
  <si>
    <t>Note: this payment growth (relative to initial total) should be moderate: i.e. never higher than the lower of expected inflation or expected nominal wage growth.</t>
  </si>
  <si>
    <r>
      <t xml:space="preserve">The relative share should be significantly higher for lower-income households, and the absolute amount should </t>
    </r>
    <r>
      <rPr>
        <b/>
        <i/>
        <u/>
        <sz val="8"/>
        <rFont val="Arial"/>
        <family val="2"/>
      </rPr>
      <t>NOT</t>
    </r>
    <r>
      <rPr>
        <sz val="8"/>
        <rFont val="Arial"/>
        <family val="2"/>
      </rPr>
      <t xml:space="preserve"> increase with income.</t>
    </r>
  </si>
  <si>
    <t>Otherwise, it is difficult to phase out the subsidy for higher-middle-income households (who would have an incentive to capture larger subsidies intended for lower-middle-income households.)</t>
  </si>
  <si>
    <t xml:space="preserve">Note: subsidies should favor lower-income households, e.g. be focused in the bottom 40 percent (as per SDG10). </t>
  </si>
  <si>
    <t>subsidy as a share of total cost</t>
  </si>
  <si>
    <t>downpayment as a share of total cost</t>
  </si>
  <si>
    <t>As higher income households receive (at least) relatively lower subsidies, there downpayments need to be relatively higher - which they can typically better afford.</t>
  </si>
  <si>
    <t>Nevertheless, the affordability check (to follow) needs to assess whether monthly payments as well as downpayments are affordable across income groups.</t>
  </si>
  <si>
    <t>income group</t>
  </si>
  <si>
    <t>decile 10</t>
  </si>
  <si>
    <t>decile 9</t>
  </si>
  <si>
    <t>decile 8</t>
  </si>
  <si>
    <t>decile 7</t>
  </si>
  <si>
    <t>decile 6</t>
  </si>
  <si>
    <t>decile 5</t>
  </si>
  <si>
    <t>decile 4</t>
  </si>
  <si>
    <t>decile 3</t>
  </si>
  <si>
    <t>decile 2</t>
  </si>
  <si>
    <t>decile 1</t>
  </si>
  <si>
    <t>affordable down-payment</t>
  </si>
  <si>
    <t>SDG focus: bottom 40%</t>
  </si>
  <si>
    <t>Downpayment capacity required</t>
  </si>
  <si>
    <t>Monthly payment capacity required</t>
  </si>
  <si>
    <t>Residual income disposable for housing 
(safe payment capacity)</t>
  </si>
  <si>
    <t>Included</t>
  </si>
  <si>
    <t>Excluded</t>
  </si>
  <si>
    <t>Included?</t>
  </si>
  <si>
    <r>
      <t>Affordability model</t>
    </r>
    <r>
      <rPr>
        <u/>
        <sz val="12"/>
        <color theme="1"/>
        <rFont val="Arial"/>
        <family val="2"/>
      </rPr>
      <t xml:space="preserve"> — assessing households' payment capacity vs. required contributions</t>
    </r>
  </si>
  <si>
    <t>required revenue from residential, remaining</t>
  </si>
  <si>
    <t>Land acquisition cost, per lot</t>
  </si>
  <si>
    <t>Construction hard cost, subtotal</t>
  </si>
  <si>
    <t>dwelling units per lot, consolidated</t>
  </si>
  <si>
    <t>dwelling units, initial</t>
  </si>
  <si>
    <t>dwelling units, consolidated</t>
  </si>
  <si>
    <t>Neighborhood scale proforma</t>
  </si>
  <si>
    <t>Land and site-related costs</t>
  </si>
  <si>
    <t>...on secondaries</t>
  </si>
  <si>
    <t>...on tertiaries</t>
  </si>
  <si>
    <t>...in off-grid clusters</t>
  </si>
  <si>
    <t>Financial efficiency (surplus/costs)</t>
  </si>
  <si>
    <t>Costs, total</t>
  </si>
  <si>
    <t>Revenues, total</t>
  </si>
  <si>
    <t>Project surplus (loss)</t>
  </si>
  <si>
    <t>Base-year 
amount</t>
  </si>
  <si>
    <t>Off-grid cluster category</t>
  </si>
  <si>
    <t>Serviced land</t>
  </si>
  <si>
    <t>Semi-private (collective) space</t>
  </si>
  <si>
    <t>Other revenues</t>
  </si>
  <si>
    <t>Revenues from private lands on arteries</t>
  </si>
  <si>
    <t>Revenues from private lots</t>
  </si>
  <si>
    <t>Off-grid Clusters Proforma</t>
  </si>
  <si>
    <t>Number of clusters</t>
  </si>
  <si>
    <t>Total costs, all clusters</t>
  </si>
  <si>
    <t>Total revenue, all clusters</t>
  </si>
  <si>
    <t>Total surplus (loss), all clusters</t>
  </si>
  <si>
    <t>Construction</t>
  </si>
  <si>
    <t>Serviced lot</t>
  </si>
  <si>
    <r>
      <t xml:space="preserve">Costs and revenues, 
</t>
    </r>
    <r>
      <rPr>
        <b/>
        <sz val="9"/>
        <color rgb="FFFF0000"/>
        <rFont val="Arial"/>
        <family val="2"/>
      </rPr>
      <t xml:space="preserve">individual </t>
    </r>
    <r>
      <rPr>
        <b/>
        <sz val="9"/>
        <color theme="0" tint="-0.499984740745262"/>
        <rFont val="Arial"/>
        <family val="2"/>
      </rPr>
      <t>cluster</t>
    </r>
  </si>
  <si>
    <t>Costs and revenues</t>
  </si>
  <si>
    <t>Serviced land, all clusters</t>
  </si>
  <si>
    <t>Semi-private (collective) space, all clusters</t>
  </si>
  <si>
    <t>Revenues from private lots, all clusters</t>
  </si>
  <si>
    <t>Other revenues, all clusters</t>
  </si>
  <si>
    <t>Off-site surplus (loss), base year</t>
  </si>
  <si>
    <t>share of loss that is project-borne, if applicable</t>
  </si>
  <si>
    <t>Off-site costs</t>
  </si>
  <si>
    <t>Off-site revenues (benefits)</t>
  </si>
  <si>
    <t>Total off-site costs, base year</t>
  </si>
  <si>
    <t>Total off-site revenues/benefits, base year</t>
  </si>
  <si>
    <t>off-site costs, project-borne</t>
  </si>
  <si>
    <t>base-year revenue</t>
  </si>
  <si>
    <t>total revenue
(base year)</t>
  </si>
  <si>
    <t>Off-site revenues</t>
  </si>
  <si>
    <t>Off-site surplus (loss)</t>
  </si>
  <si>
    <t>Off-site costs, project-borne</t>
  </si>
  <si>
    <t>Site-related costs, total</t>
  </si>
  <si>
    <t>Guide</t>
  </si>
  <si>
    <t>1off-site</t>
  </si>
  <si>
    <t>1site</t>
  </si>
  <si>
    <t>Off-site costs and revenues, e.g. for trunk infrastructure (costs) and value capture along the trunk line (revenue).</t>
  </si>
  <si>
    <t>Q</t>
  </si>
  <si>
    <t>Red sheet</t>
  </si>
  <si>
    <t>API to the spatial model</t>
  </si>
  <si>
    <t>1db</t>
  </si>
  <si>
    <t>Optional calculations on landowners and their lands: e.g. for structuring a potential land pooling and land readjustment (LPLR) project</t>
  </si>
  <si>
    <t>City Scale Proforma (DashBoard representation)</t>
  </si>
  <si>
    <t>City-scale financial models</t>
  </si>
  <si>
    <t>Neighborhood-scale financial models</t>
  </si>
  <si>
    <t>2neighborhood</t>
  </si>
  <si>
    <t>Neighborhood scale financial model</t>
  </si>
  <si>
    <t>2db</t>
  </si>
  <si>
    <t>Neighborhood Scale Proforma (DashBoard representation)</t>
  </si>
  <si>
    <t>Cluster-scale financial models</t>
  </si>
  <si>
    <t>Financial model for off-grid clusters along ARTeries</t>
  </si>
  <si>
    <t>Financial model for off-grid clusters along SECondaries</t>
  </si>
  <si>
    <t>Financial model for off-grid clusters along local roads that a SINGLE level of clusters</t>
  </si>
  <si>
    <t>Financial model for off-grid clusters along local roads that a MULTIPLE level of clusters</t>
  </si>
  <si>
    <t>3db</t>
  </si>
  <si>
    <t>Cluster Scale Proforma (DashBoard representation)</t>
  </si>
  <si>
    <t>Explanation of all sheets</t>
  </si>
  <si>
    <t>Single-level clusters on local roads…</t>
  </si>
  <si>
    <t>Multi-level clusters on local roads</t>
  </si>
  <si>
    <t>formatting in case of loss</t>
  </si>
  <si>
    <t>Land costs, subtotal</t>
  </si>
  <si>
    <t>Building-scale financial models</t>
  </si>
  <si>
    <t>4buildings</t>
  </si>
  <si>
    <t>Building scale financial model</t>
  </si>
  <si>
    <t>4db</t>
  </si>
  <si>
    <t>Building Scale Proforma (DashBoard representation)</t>
  </si>
  <si>
    <t>Starter Buildings Proforma</t>
  </si>
  <si>
    <t>on locals, 
single</t>
  </si>
  <si>
    <t>on locals, 
multiple</t>
  </si>
  <si>
    <t>formatting in case of surplus</t>
  </si>
  <si>
    <t>Revenues (sales), commercial floor area</t>
  </si>
  <si>
    <t>Revenues (sales), residential floor area</t>
  </si>
  <si>
    <t>Project surplus (loss), per lot</t>
  </si>
  <si>
    <t>dwelling units per lot, initial</t>
  </si>
  <si>
    <t>household size</t>
  </si>
  <si>
    <t>total population size</t>
  </si>
  <si>
    <t>gross density (people per total area)</t>
  </si>
  <si>
    <t>net density (people per private land)</t>
  </si>
  <si>
    <t>Demographic projections</t>
  </si>
  <si>
    <t>Location, by color code</t>
  </si>
  <si>
    <t>Initial dwellings</t>
  </si>
  <si>
    <t>...population</t>
  </si>
  <si>
    <t>Consolidated dwellings</t>
  </si>
  <si>
    <t>Demographic projections, assuming intital and consolidated lot development, number of dwelling units, and household size</t>
  </si>
  <si>
    <t>5</t>
  </si>
  <si>
    <t>Unit-scale financial models</t>
  </si>
  <si>
    <t>5affordability</t>
  </si>
  <si>
    <t>5db</t>
  </si>
  <si>
    <t>Dwelling Scale Proforma (DashBoard representation)</t>
  </si>
  <si>
    <t>Serviced lots, on arteries</t>
  </si>
  <si>
    <t>Serviced lots, on secondaries</t>
  </si>
  <si>
    <t>Serviced lots, on locals</t>
  </si>
  <si>
    <t>…in off-grid clusters, from arteries</t>
  </si>
  <si>
    <t>…in off-grid clusters, from secondaries</t>
  </si>
  <si>
    <t>…in off-grid clusters, from locals</t>
  </si>
  <si>
    <t>Sales of serviced lots, subtotal</t>
  </si>
  <si>
    <t>Payments, total</t>
  </si>
  <si>
    <t>Payments, remaining</t>
  </si>
  <si>
    <t>Payments for land, if separate</t>
  </si>
  <si>
    <t>Payments for starter, if separate</t>
  </si>
  <si>
    <t>Monthly payments</t>
  </si>
  <si>
    <t>Serviced lots WITH starters</t>
  </si>
  <si>
    <t>Spider</t>
  </si>
  <si>
    <t>category</t>
  </si>
  <si>
    <t>Fiscal viability</t>
  </si>
  <si>
    <t>key value</t>
  </si>
  <si>
    <t>objective (10 points)</t>
  </si>
  <si>
    <t>Economic viability, IRR total project</t>
  </si>
  <si>
    <t>Commercial viability, IRR private sector</t>
  </si>
  <si>
    <t>Fiscal viability, public sector project NPV</t>
  </si>
  <si>
    <t>less demand-side subsidies, NPV</t>
  </si>
  <si>
    <t>less supply-side in-kind capture 
(e.g. value of public lands), NPV</t>
  </si>
  <si>
    <t>not yet adjusted for inflation</t>
  </si>
  <si>
    <t>budget</t>
  </si>
  <si>
    <t>spider</t>
  </si>
  <si>
    <t>captures and calculates main performance indicators, for link to the RUE spider diagram</t>
  </si>
  <si>
    <t>blue sheets</t>
  </si>
  <si>
    <t>Negotiation and mediation, phasing, and financial efficiency</t>
  </si>
  <si>
    <t>tbd</t>
  </si>
  <si>
    <t>Balance</t>
  </si>
  <si>
    <t>Secondaries (distributor roads), subtotal</t>
  </si>
  <si>
    <t>Land cost (adjusted for cluster's contribution, if applicable)</t>
  </si>
  <si>
    <t>Starter building, average floor area, if any</t>
  </si>
  <si>
    <t>All lands, 
totals</t>
  </si>
  <si>
    <t>Developable area, subtotals</t>
  </si>
  <si>
    <t>Non-developable area</t>
  </si>
  <si>
    <t>Total private area (for all lots), by location</t>
  </si>
  <si>
    <t>zero sided 
(@tbd)</t>
  </si>
  <si>
    <t>Landowner 6</t>
  </si>
  <si>
    <t>existing public roads</t>
  </si>
  <si>
    <t>public roads, existing</t>
  </si>
  <si>
    <t>Number of lots</t>
  </si>
  <si>
    <t>w/path</t>
  </si>
  <si>
    <t>All quantities from the spatial model - NOT YET EXISTING/MODELLED</t>
  </si>
  <si>
    <t>Land acquisition and landowners</t>
  </si>
  <si>
    <t>quantity from the spatial model, OR manual user input in the financial model</t>
  </si>
  <si>
    <t>Single-level cluster…</t>
  </si>
  <si>
    <t>revenue from non-residential (e.g. ground floor commercial), if any</t>
  </si>
  <si>
    <t>2-story shell (loft) without interior walls and slabs: open space for user-driven infill, foundation for up to 3 floors</t>
  </si>
  <si>
    <t>4-story aparment building with ground floor commercial and 4 units on each of the 3 upper floors</t>
  </si>
  <si>
    <t xml:space="preserve">Small-scale livelihoods, residential </t>
  </si>
  <si>
    <t>Neighborhood-scale public open spaces</t>
  </si>
  <si>
    <t>total lot area:</t>
  </si>
  <si>
    <r>
      <t xml:space="preserve">Please note, this section does </t>
    </r>
    <r>
      <rPr>
        <b/>
        <i/>
        <u/>
        <sz val="9"/>
        <color theme="1"/>
        <rFont val="Arial"/>
        <family val="2"/>
      </rPr>
      <t>not</t>
    </r>
    <r>
      <rPr>
        <sz val="9"/>
        <color theme="1"/>
        <rFont val="Arial"/>
        <family val="2"/>
      </rPr>
      <t xml:space="preserve"> categorize how much the government needs to pay for public lands; instead it quantifies the value (or opportunity cost) of lands carved out for public use.</t>
    </r>
  </si>
  <si>
    <t>(Whether or not (and, if so, how much) is to be paid for public lands is decided in the stakeholder spreadsheet, distributing costs and benefits of the projects amongst stakeholders equitably.)</t>
  </si>
  <si>
    <t>In this section, please estimate the market value of lands, depending on location, public infrastructure standard, and access</t>
  </si>
  <si>
    <t>arteries</t>
  </si>
  <si>
    <t>secondaries</t>
  </si>
  <si>
    <t>1st level off-grid cluster, connecting to:</t>
  </si>
  <si>
    <t>First, please determine the market value of all on-grid lots on public roads…</t>
  </si>
  <si>
    <t>Second, please determine the market value of lots in off-grid clusters. Off-grid clusters are areas in-side urban blocks, requiring private services that connect to public roads…</t>
  </si>
  <si>
    <t xml:space="preserve">preview, for calibration: </t>
  </si>
  <si>
    <t>(c) profit margin: market value relative to base year cost</t>
  </si>
  <si>
    <t>2nd-level off-grid cluster, connected through 1st level</t>
  </si>
  <si>
    <t xml:space="preserve">profit (c) </t>
  </si>
  <si>
    <t xml:space="preserve">Shared circulation, open spaces, and amenities </t>
  </si>
  <si>
    <t>Other public items, if any</t>
  </si>
  <si>
    <t>e.g. community hall</t>
  </si>
  <si>
    <t>Neighborhood-scale public amenities</t>
  </si>
  <si>
    <t>forecast for 
off-grid lots with collective 
(semi-private) services.
(Final prices should be lower than that of on-grid lots above…)</t>
  </si>
  <si>
    <t>Land cost, base-year before interest</t>
  </si>
  <si>
    <t>Construction cost, base-year before interest</t>
  </si>
  <si>
    <t>Total cost (serviced land &amp; starter building), base-year before interest</t>
  </si>
  <si>
    <t>Total cost (serviced land &amp; starter building), base-year</t>
  </si>
  <si>
    <t>sublet units, per main units</t>
  </si>
  <si>
    <t>Construction unit cost, charged by builder as per above specifications</t>
  </si>
  <si>
    <t>Additional household investment, before move in (if any)</t>
  </si>
  <si>
    <t>Land cost, attributed to 1 main dwelling unit</t>
  </si>
  <si>
    <t>Starter unit cost, attributed to 1 main dwelling unit</t>
  </si>
  <si>
    <t>Total monthly payment required, initially</t>
  </si>
  <si>
    <t>lowest rent</t>
  </si>
  <si>
    <t>Affordability assessment - OWNERSHIP
(Comparison of payment capacity and required payment)</t>
  </si>
  <si>
    <t>rent: annual growth / inflation</t>
  </si>
  <si>
    <t>De-risking: aggregated loan-to-value ratio (LTV)</t>
  </si>
  <si>
    <t>Affordability of ownership</t>
  </si>
  <si>
    <t>Tertiary 
(regular)</t>
  </si>
  <si>
    <r>
      <t xml:space="preserve">Financial instrument 2: To finance a professionally built and durable structure. 
</t>
    </r>
    <r>
      <rPr>
        <sz val="9"/>
        <rFont val="Arial"/>
        <family val="2"/>
      </rPr>
      <t>This second box allows to use longer-term and lower-interest financial instruments, such as mortgages or leases.</t>
    </r>
  </si>
  <si>
    <t>Aggregated payments required for off-take…</t>
  </si>
  <si>
    <t>...plus rental income used to cover financial obligations</t>
  </si>
  <si>
    <t>Lot definition &amp; land cost…</t>
  </si>
  <si>
    <t>1-story core home,  2.5 rooms initially, incl. utility/wet core, for horizontal and vertical expansion (in back yard and up to 3 floors)</t>
  </si>
  <si>
    <t>1-story core home,  basic 1 room initially, incl. utility/wet core, for horizontal and vertical expansion (in back yard and up to 3 floors)</t>
  </si>
  <si>
    <t>same, as left</t>
  </si>
  <si>
    <t>Starter description</t>
  </si>
  <si>
    <t>Starter building definition &amp; cost…</t>
  </si>
  <si>
    <t>total number of dwelling units per lot, initial</t>
  </si>
  <si>
    <t>Carving out small-scale private rental (sublets), as applicable – potential win-win for income generation and provision of most affordable dwelling units…</t>
  </si>
  <si>
    <t>Base-year surplus (loss), 1 cluster</t>
  </si>
  <si>
    <t>Revenue, total | 1 cluster</t>
  </si>
  <si>
    <t>Cost, total | 1 cluster</t>
  </si>
  <si>
    <r>
      <t xml:space="preserve">Costs and revenues,
 </t>
    </r>
    <r>
      <rPr>
        <b/>
        <sz val="9"/>
        <color rgb="FFFF0000"/>
        <rFont val="Arial"/>
        <family val="2"/>
      </rPr>
      <t>all clusters</t>
    </r>
  </si>
  <si>
    <r>
      <t xml:space="preserve">Serviced lots, </t>
    </r>
    <r>
      <rPr>
        <b/>
        <sz val="9"/>
        <color rgb="FFFF0000"/>
        <rFont val="Arial"/>
        <family val="2"/>
      </rPr>
      <t>withOUT construction</t>
    </r>
  </si>
  <si>
    <r>
      <t xml:space="preserve">Serviced lots, </t>
    </r>
    <r>
      <rPr>
        <b/>
        <sz val="9"/>
        <color rgb="FFFF0000"/>
        <rFont val="Arial"/>
        <family val="2"/>
      </rPr>
      <t>WITH starters</t>
    </r>
  </si>
  <si>
    <r>
      <t>PART 1. Affordability assessment for OWNERSHIP.</t>
    </r>
    <r>
      <rPr>
        <sz val="11"/>
        <color theme="0"/>
        <rFont val="Arial"/>
        <family val="2"/>
      </rPr>
      <t xml:space="preserve">
Comparing payment capacity w/ required monthly payment &amp; downpayment.</t>
    </r>
  </si>
  <si>
    <r>
      <t>PART 2. Affordability assessment for small-scale private RENTAL.</t>
    </r>
    <r>
      <rPr>
        <b/>
        <sz val="11"/>
        <color theme="0"/>
        <rFont val="Arial"/>
        <family val="2"/>
      </rPr>
      <t xml:space="preserve">
</t>
    </r>
    <r>
      <rPr>
        <sz val="11"/>
        <color theme="0"/>
        <rFont val="Arial"/>
        <family val="2"/>
      </rPr>
      <t>Comparing payment capacity with required rent.</t>
    </r>
  </si>
  <si>
    <t>lot w</t>
  </si>
  <si>
    <t>lot d</t>
  </si>
  <si>
    <t>footprint w</t>
  </si>
  <si>
    <t>footprint d</t>
  </si>
  <si>
    <t>starter w</t>
  </si>
  <si>
    <t>starter d</t>
  </si>
  <si>
    <t>starter f</t>
  </si>
  <si>
    <t>lot A</t>
  </si>
  <si>
    <t>footprint A</t>
  </si>
  <si>
    <t>side margin</t>
  </si>
  <si>
    <t>front margin</t>
  </si>
  <si>
    <t>back margin</t>
  </si>
  <si>
    <t>Prior Landownership</t>
  </si>
  <si>
    <t>individual land owners' contribution</t>
  </si>
  <si>
    <t>serviced lands (project)</t>
  </si>
  <si>
    <t>precision check, comparing areas</t>
  </si>
  <si>
    <t>area size</t>
  </si>
  <si>
    <t>deviation</t>
  </si>
  <si>
    <t>floor area</t>
  </si>
  <si>
    <t>Lots and buildings (idealized)</t>
  </si>
  <si>
    <t>side margin 2</t>
  </si>
  <si>
    <t>corner bonus</t>
  </si>
  <si>
    <t>floors regular</t>
  </si>
  <si>
    <t>floors final</t>
  </si>
  <si>
    <t>total cost</t>
  </si>
  <si>
    <r>
      <t xml:space="preserve">public area (a)
</t>
    </r>
    <r>
      <rPr>
        <sz val="8"/>
        <color theme="1"/>
        <rFont val="Arial"/>
        <family val="2"/>
      </rPr>
      <t>(partitions only)</t>
    </r>
  </si>
  <si>
    <t>3cluster_artery</t>
  </si>
  <si>
    <t>3cluster_secondary</t>
  </si>
  <si>
    <t>3cluster_local</t>
  </si>
  <si>
    <t>3cluster_2levels</t>
  </si>
  <si>
    <t>cluster w</t>
  </si>
  <si>
    <t>int. path w</t>
  </si>
  <si>
    <t>typical land uses</t>
  </si>
  <si>
    <t>sublet 1, if any (per main dwelling)</t>
  </si>
  <si>
    <t>sublet 2, if any (per main dwelling)</t>
  </si>
  <si>
    <t>On-grid frontage/access path (2)</t>
  </si>
  <si>
    <t>less cost shared with on-grid lots (x)</t>
  </si>
  <si>
    <t>w/ path</t>
  </si>
  <si>
    <t>L offices</t>
  </si>
  <si>
    <t>site, defined by external boundary</t>
  </si>
  <si>
    <t>Clusters</t>
  </si>
  <si>
    <t>starter dwelling main unit, average price</t>
  </si>
  <si>
    <t>high income 
(e.g. quintile 5)</t>
  </si>
  <si>
    <t>higher middle income 
(e.g. quintile 4)</t>
  </si>
  <si>
    <t>lower middle income 
(e.g. quintile 3)</t>
  </si>
  <si>
    <t>low income 
(e.g. quintile 2)</t>
  </si>
  <si>
    <t>poor 
(e.g. quintile 1)</t>
  </si>
  <si>
    <t>typical market</t>
  </si>
  <si>
    <t>Financing of land separately, if applicable</t>
  </si>
  <si>
    <t xml:space="preserve">Remaining amount to be financed </t>
  </si>
  <si>
    <t>nominal interest rate</t>
  </si>
  <si>
    <t>just below 
market frontier: middle 40%</t>
  </si>
  <si>
    <t>just below 
market frontier</t>
  </si>
  <si>
    <t>Affordability of rental sublets</t>
  </si>
  <si>
    <t>Dwellings Proforma &amp; Affordability</t>
  </si>
  <si>
    <t>Trunk infrastructure items</t>
  </si>
  <si>
    <t>Site mobilization items</t>
  </si>
  <si>
    <t>(c) profit margin: market value relative to base year cost (Retorn on Investment (ROI))</t>
  </si>
  <si>
    <t>Demographic forecast</t>
  </si>
  <si>
    <t>Idealized lot size</t>
  </si>
  <si>
    <t>Average lot size (a)</t>
  </si>
  <si>
    <t>Idealized starter building floor area, if any (a)</t>
  </si>
  <si>
    <t>mixed-use building</t>
  </si>
  <si>
    <t>Note: additional household investment is optional - with labor and materials possibly procured on the informal / second-hand market… In case of potential raw units, it makes the dwelling livable.</t>
  </si>
  <si>
    <t>Note: for those still excluded, consider a rental voucher or other supply-side support (e.g. subsidizing the landlord)?</t>
  </si>
  <si>
    <t>Interest margin during construction</t>
  </si>
  <si>
    <t>Interest</t>
  </si>
  <si>
    <t>Total cost (serviced land &amp; starter building), base-year including interest</t>
  </si>
  <si>
    <t>Differenting commercial and residential floor space, as applicable…</t>
  </si>
  <si>
    <t>REVENUES</t>
  </si>
  <si>
    <t>COSTS</t>
  </si>
  <si>
    <t>non-residential as share of revenue generating floor area (e.g. ground floor commercial), if any</t>
  </si>
  <si>
    <t>non-residential revenue-generating floor space</t>
  </si>
  <si>
    <t>revenue-generating floor area</t>
  </si>
  <si>
    <t>non-revenue-generating floor space</t>
  </si>
  <si>
    <t>starter dwellings, price per residential floor area</t>
  </si>
  <si>
    <t>non-residential revenue (e.g. commercial)</t>
  </si>
  <si>
    <t>thereof, revenue-generating residential floor space</t>
  </si>
  <si>
    <t>6demographics</t>
  </si>
  <si>
    <t>5dwellings</t>
  </si>
  <si>
    <t>5finande</t>
  </si>
  <si>
    <t>Carving out main residential units as well as optional rooms for sublet from the residential area</t>
  </si>
  <si>
    <t>housing finance model, including rental revenue from sublets</t>
  </si>
  <si>
    <t>Affordability assessment: which households are able to afford main dwellings for ownership and sublet rental rooms?</t>
  </si>
  <si>
    <t>6</t>
  </si>
  <si>
    <t>Demographic projection summary</t>
  </si>
  <si>
    <t>6db</t>
  </si>
  <si>
    <t>Quantities from the spatial model</t>
  </si>
  <si>
    <t>residential units: main dwellings (owned) per lot, initial</t>
  </si>
  <si>
    <t>starter dwelling main units (owned), average gross area</t>
  </si>
  <si>
    <t>remaining area of main dwelling (owned, self-occupied)</t>
  </si>
  <si>
    <t>aggregated rental sublet area</t>
  </si>
  <si>
    <t>to</t>
  </si>
  <si>
    <t>min</t>
  </si>
  <si>
    <t xml:space="preserve">to </t>
  </si>
  <si>
    <t>max</t>
  </si>
  <si>
    <t>Total OR min. to max.</t>
  </si>
  <si>
    <t>over the total site:</t>
  </si>
  <si>
    <t>Workaround area for minimum calculation, excluding cells, of which the value is zero…</t>
  </si>
  <si>
    <t>Required monthly payments</t>
  </si>
  <si>
    <t>...density, gross (all site)</t>
  </si>
  <si>
    <t>...density, net (private land)</t>
  </si>
  <si>
    <t>Legal information</t>
  </si>
  <si>
    <t xml:space="preserve">This spreadsheet is IP of Mat Nohn alias Rapid Urbanism. Contact: nohn@rapidurbanism.com </t>
  </si>
  <si>
    <t>Smallest rental sublet (possibly a tiny room for a poor single person migrant household)</t>
  </si>
  <si>
    <t>Affordability of small-scale private rental</t>
  </si>
  <si>
    <t>Financial efficiency, building scale</t>
  </si>
  <si>
    <t>Financial efficiency, neighborhood scale</t>
  </si>
  <si>
    <t>Financial efficiency, cluster scale</t>
  </si>
  <si>
    <t>score (out of 10)</t>
  </si>
  <si>
    <t>Density, initial</t>
  </si>
  <si>
    <t>Density, consolidated</t>
  </si>
  <si>
    <t>Inclusion:</t>
  </si>
  <si>
    <t>Financial viability:</t>
  </si>
  <si>
    <t>Fiscal cost</t>
  </si>
  <si>
    <t>starter roof: 
only foundation, frame, roof slab, utility/wet core; for 1 "room", initially. Can be expanded as much the core. Difference: no walls, windows, etc – which are all done by the user…</t>
  </si>
  <si>
    <t>real interest rate applied</t>
  </si>
  <si>
    <t>Note: as land does not depreciate it may be indexed to inflation, possibly. If so, this can be done with the following line.</t>
  </si>
  <si>
    <t>Note: land indexed to inflation may also be financed as a perpetual lease. If so, the following line allows setting the future value to 100% meaning that only interest is paid but no amortization.</t>
  </si>
  <si>
    <t>The following box allows using the full range of financial instruments (e.g. long-term mortgages or leases vs. housing microfinance, vs. regular microfinance). Differentiate  interest rate and amortization period, depending on loan size, asset durability, perceivd risk – ranging from shorter term and higher rate for microfinance to longer term and lower rate for mortgages and leases...</t>
  </si>
  <si>
    <t>less cushion to hedge against loss of rental income</t>
  </si>
  <si>
    <t>Costs</t>
  </si>
  <si>
    <t>Public space (streets, open space &amp; amenities), consolidated</t>
  </si>
  <si>
    <t>Sustainability:</t>
  </si>
  <si>
    <t>Livability</t>
  </si>
  <si>
    <t>total floor area</t>
  </si>
  <si>
    <t>Starter building model</t>
  </si>
  <si>
    <t>Starter dwellings model</t>
  </si>
  <si>
    <t>2-level cluster 
(1st level)</t>
  </si>
  <si>
    <t>2-level cluster 
(2nd level)</t>
  </si>
  <si>
    <t>Tertiary x tertiary
(corner)</t>
  </si>
  <si>
    <t>Tertiary 
(cluster access)</t>
  </si>
  <si>
    <t>Secondary (cluster access)</t>
  </si>
  <si>
    <t>Artery 
(cluster access)</t>
  </si>
  <si>
    <t>Off-grid cluster (simple)</t>
  </si>
  <si>
    <t>Off-grid cluster 
(on arteries)</t>
  </si>
  <si>
    <t>Off-grid cluster 
(secondaries)</t>
  </si>
  <si>
    <t>amenities target</t>
  </si>
  <si>
    <t>street space target</t>
  </si>
  <si>
    <t>public space target</t>
  </si>
  <si>
    <t>open space / parks target</t>
  </si>
  <si>
    <t>pop density (gross)</t>
  </si>
  <si>
    <t>marginal change</t>
  </si>
  <si>
    <t>below 500</t>
  </si>
  <si>
    <t>above 500</t>
  </si>
  <si>
    <t>public space</t>
  </si>
  <si>
    <t>public space p.c.</t>
  </si>
  <si>
    <t>Comment</t>
  </si>
  <si>
    <t>Land consumption</t>
  </si>
  <si>
    <t>gross ratio for consolidated settlement</t>
  </si>
  <si>
    <t>initial density for gross area</t>
  </si>
  <si>
    <t>Public and community space</t>
  </si>
  <si>
    <t>affordability of monthly payment (loan installment) and downpayment (first installment)</t>
  </si>
  <si>
    <t>affordability of monthly payment (rent) for sublets</t>
  </si>
  <si>
    <t>(revenues-cost)/cost</t>
  </si>
  <si>
    <t>streets, public open spaces, amenities; collective spaces in clusters per capita for consolidated (fully populated) settlement; for moving targets see below.</t>
  </si>
  <si>
    <t>moving public space targets, by pop density</t>
  </si>
  <si>
    <t>2-level cluster: 1st level (light blue)…</t>
  </si>
  <si>
    <t>2-level cluster: 2nd level (dark blue)…</t>
  </si>
  <si>
    <t>n/a</t>
  </si>
  <si>
    <t>available savings</t>
  </si>
  <si>
    <t>Arteries (main roads), higher standard</t>
  </si>
  <si>
    <t>Secondaries (distributor roads), medium standard</t>
  </si>
  <si>
    <t>Tertiaries (access and local roads), basic standard</t>
  </si>
  <si>
    <t>1st level off-grid cluster, connecting to local roads</t>
  </si>
  <si>
    <t>Assumed starter building floor area, if any (a)</t>
  </si>
  <si>
    <t>less non-revenue-generating floor area (e.g. shared staircases, corridors)</t>
  </si>
  <si>
    <t>portion of floor space to be selfbuilt by household (infill of slab in case of shells, only)</t>
  </si>
  <si>
    <t>Demand-side finance, required for taking units off the balance sheets of developers and builders</t>
  </si>
  <si>
    <t>Optional: this box allows financing the land with a different instrument (e.g. mortgage, long-term lease) than the construction.</t>
  </si>
  <si>
    <t>Monthly payment for land (initial)</t>
  </si>
  <si>
    <t>Effective contribution required from owner-household</t>
  </si>
  <si>
    <t>Financing of demand model (part 1/2: ownership)</t>
  </si>
  <si>
    <t>Financing of demand model (part 2/2: rental sublets)</t>
  </si>
  <si>
    <t>…per m2</t>
  </si>
  <si>
    <t>monthly net rent per m2, excl. utilities, etc. (initial)</t>
  </si>
  <si>
    <t>monthly rent collection (initial), maximum</t>
  </si>
  <si>
    <t>monthly rent collection (initial), assumed</t>
  </si>
  <si>
    <t>Note: balloons reduce amortization but require refinancing; to avoid traps, automatically roll over at the end of the period. For a perpetual lease, set the future value to 100% or to financing period to high number of years.</t>
  </si>
  <si>
    <t>Note: here, the downpayment should be assumed to be zero, given that any downpayment should be allocated to higher-interest instruments (e.g. microloans) to save on interest payments, below.</t>
  </si>
  <si>
    <t>less rental income, from sublet units (where applicable)…</t>
  </si>
  <si>
    <t>Starter units (incl. sublets), project-built</t>
  </si>
  <si>
    <t>serviced cluster price</t>
  </si>
  <si>
    <t>non-serviced price</t>
  </si>
  <si>
    <t xml:space="preserve">fin. efficiency (c) </t>
  </si>
  <si>
    <t>Total cost to be recovered (amount)</t>
  </si>
  <si>
    <t>%shares</t>
  </si>
  <si>
    <t>Public lands, value ≠ revenue</t>
  </si>
  <si>
    <t>differential pricing of private land</t>
  </si>
  <si>
    <t>Public lands, revenue</t>
  </si>
  <si>
    <t>Serviced land, average/total</t>
  </si>
  <si>
    <t>Revenues from private lands</t>
  </si>
  <si>
    <t>private lands 
area (a)</t>
  </si>
  <si>
    <t>public lands 
carved out
area (a)</t>
  </si>
  <si>
    <t>public lands carved out
value ≠ revenue</t>
  </si>
  <si>
    <t>Revenue from public uses</t>
  </si>
  <si>
    <t>quantity</t>
  </si>
  <si>
    <t>Site mobilization proforma</t>
  </si>
  <si>
    <t>initial</t>
  </si>
  <si>
    <t>consolidated</t>
  </si>
  <si>
    <t>over the private land, excl. streets, public open spaces and public amenities, but including semi-private shared spaces in clusters:</t>
  </si>
  <si>
    <t>Third, please determine the market value of lots in 2nd-level off-grid clusters. These are clusters that are accessible only through other off-grid clusters (i.e. without direct connection to a public road)…</t>
  </si>
  <si>
    <t>private land 
value ≈ revenue</t>
  </si>
  <si>
    <t>Finally, determine the collectable revenue from public lands, if any, considering land value sharing…</t>
  </si>
  <si>
    <t>Now, determine the collectable revenue from private lands, optionally budgeting a contingency to hedge against market risks (if not priced in above)…</t>
  </si>
  <si>
    <t>Private lands, value ≈ revenue</t>
  </si>
  <si>
    <t>contingency buffer, if any:</t>
  </si>
  <si>
    <t>Private lands, revenue</t>
  </si>
  <si>
    <t>value-
over-
cost ratio</t>
  </si>
  <si>
    <t>opportunity cost of public lands (foregone revenue = land value sharing):</t>
  </si>
  <si>
    <t>Land value or revenue as share of total revenue</t>
  </si>
  <si>
    <t>Land area as share of total serviced area</t>
  </si>
  <si>
    <t>differentiate social and private surplus?</t>
  </si>
  <si>
    <t>Off-site costs, project-borne share (1)</t>
  </si>
  <si>
    <t>dummy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</si>
</sst>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3">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_-* #,##0_-;\-* #,##0_-;_-* &quot;-&quot;_-;_-@_-"/>
    <numFmt numFmtId="165" formatCode="0.0%"/>
    <numFmt numFmtId="166" formatCode="&quot;$&quot;#,##0"/>
    <numFmt numFmtId="167" formatCode="&quot;$&quot;0.00\ &quot;/m2&quot;"/>
    <numFmt numFmtId="168" formatCode="&quot;Zone&quot;\ 0"/>
    <numFmt numFmtId="169" formatCode="&quot;$&quot;#,##0;\-&quot;$&quot;#,##0;;@"/>
    <numFmt numFmtId="170" formatCode="&quot;$&quot;#,##0\ &quot;/m2&quot;;\-&quot;$&quot;#,##0\ &quot;/m2&quot;;;@"/>
    <numFmt numFmtId="171" formatCode="#,##0\ &quot;m&quot;"/>
    <numFmt numFmtId="172" formatCode="&quot;$&quot;#,##0\ &quot;m2 *&quot;"/>
    <numFmt numFmtId="173" formatCode="&quot;$&quot;#,##0\ &quot;m2 *&quot;;\-&quot;$&quot;#,##0\ &quot;m2 *&quot;;;@"/>
    <numFmt numFmtId="174" formatCode="&quot;$&quot;#,##0\ &quot;/m&quot;;\-&quot;$&quot;#,##0\ &quot;/m&quot;;;@"/>
    <numFmt numFmtId="175" formatCode="0.0%;\-0.0%;;@"/>
    <numFmt numFmtId="176" formatCode="&quot;$&quot;#,##0.00\ &quot;/m2&quot;;\-&quot;$&quot;#,##0.00\ &quot;/m2&quot;;;@"/>
    <numFmt numFmtId="177" formatCode="#,##0\ &quot;m2 *&quot;;\-#,##0\ &quot;m2 *&quot;;;@"/>
    <numFmt numFmtId="178" formatCode="&quot;$&quot;0.00\ &quot;/m2 net&quot;;\-&quot;$&quot;0.00\ &quot;/m2 net&quot;;;@"/>
    <numFmt numFmtId="179" formatCode="&quot;Landowner&quot;\ #"/>
    <numFmt numFmtId="180" formatCode="#,##0\ &quot;m2&quot;;\-#,##0\ &quot;m2&quot;;;@"/>
    <numFmt numFmtId="181" formatCode="#,##0\ &quot;m&quot;;\-#,##0\ &quot;m&quot;;;@"/>
    <numFmt numFmtId="182" formatCode="0.00\ &quot;ha&quot;"/>
    <numFmt numFmtId="183" formatCode="0\ &quot;pc&quot;"/>
    <numFmt numFmtId="184" formatCode="&quot;$&quot;#,##0\ &quot;/pc&quot;"/>
    <numFmt numFmtId="185" formatCode="#,##0\ &quot;m2&quot;"/>
    <numFmt numFmtId="186" formatCode="0\ &quot;$/m2&quot;"/>
    <numFmt numFmtId="187" formatCode="&quot;$&quot;0.00\ &quot;/m2&quot;;\-&quot;$&quot;0.00\ &quot;/m2&quot;;;@"/>
    <numFmt numFmtId="188" formatCode="0\ &quot;lots&quot;"/>
    <numFmt numFmtId="189" formatCode="#,##0\ &quot;m2/unit&quot;"/>
    <numFmt numFmtId="190" formatCode="0.0\ &quot;units/lot&quot;"/>
    <numFmt numFmtId="191" formatCode="0.00\ &quot;$/m2&quot;"/>
    <numFmt numFmtId="192" formatCode="0.00%\ &quot;p.a.&quot;"/>
    <numFmt numFmtId="193" formatCode="&quot;$&quot;#,##0\ &quot;p.m.&quot;"/>
    <numFmt numFmtId="194" formatCode="#,##0\ &quot;months&quot;"/>
    <numFmt numFmtId="195" formatCode="#,##0\ &quot;people&quot;"/>
    <numFmt numFmtId="196" formatCode="#,##0\ &quot;units&quot;"/>
    <numFmt numFmtId="197" formatCode="0.00\ &quot;people/unit&quot;"/>
    <numFmt numFmtId="198" formatCode="&quot;top &quot;0%"/>
    <numFmt numFmtId="199" formatCode="&quot;bottom &quot;0%"/>
    <numFmt numFmtId="200" formatCode="0\ &quot;people/ha gross&quot;"/>
    <numFmt numFmtId="201" formatCode="0\ &quot;people/ha net&quot;"/>
    <numFmt numFmtId="202" formatCode="0&quot; lots&quot;"/>
    <numFmt numFmtId="203" formatCode="0&quot; units&quot;"/>
    <numFmt numFmtId="204" formatCode="0.0"/>
    <numFmt numFmtId="205" formatCode="0\ &quot;people/ha (gross)&quot;"/>
    <numFmt numFmtId="206" formatCode="&quot;Environmental zone: &quot;0.00\ &quot;ha&quot;"/>
    <numFmt numFmtId="207" formatCode="&quot;Social reservation: &quot;0.00\ &quot;ha&quot;"/>
    <numFmt numFmtId="208" formatCode="&quot;Agricultural lands: &quot;0.00\ &quot;ha&quot;"/>
    <numFmt numFmtId="209" formatCode="&quot;Urban lands: &quot;0.00\ &quot;ha&quot;"/>
    <numFmt numFmtId="210" formatCode="&quot;Existing public roads: &quot;0.00\ &quot;ha&quot;"/>
    <numFmt numFmtId="211" formatCode="&quot;Lots in semi-private off-grid clusters: spot cost of&quot;\ &quot;$&quot;#,##0.00\ &quot;/m2 (b)&quot;"/>
    <numFmt numFmtId="212" formatCode="#,##0\ &quot;m2/main unit&quot;"/>
    <numFmt numFmtId="213" formatCode="0\ &quot;sublets/units&quot;"/>
    <numFmt numFmtId="214" formatCode="&quot;$&quot;#,##0\ &quot;/ha&quot;"/>
    <numFmt numFmtId="215" formatCode="0.00\ &quot;m&quot;"/>
    <numFmt numFmtId="216" formatCode="0.00\ &quot;m2&quot;"/>
    <numFmt numFmtId="217" formatCode="0\ &quot;floors&quot;"/>
    <numFmt numFmtId="218" formatCode="&quot;$&quot;#,##0.00"/>
    <numFmt numFmtId="219" formatCode="&quot;Spot cost of&quot;\ &quot;$&quot;#,##0.00\ &quot;/m2 (b)&quot;"/>
    <numFmt numFmtId="220" formatCode="&quot;Spot cost for the following lots:&quot;\ &quot;$&quot;#,##0.00\ &quot;/m2 (b)&quot;"/>
    <numFmt numFmtId="221" formatCode="0\ &quot;clusters&quot;"/>
    <numFmt numFmtId="222" formatCode="&quot;1 of&quot;\ 0\ &quot;clusters&quot;"/>
    <numFmt numFmtId="223" formatCode="0\ &quot;main unit(s)/lot&quot;"/>
    <numFmt numFmtId="224" formatCode="#,##0\ &quot;p/ha&quot;"/>
    <numFmt numFmtId="225" formatCode="0.00\ &quot;m2/capita (gross)&quot;"/>
    <numFmt numFmtId="226" formatCode="0.0\ &quot;m2/capita&quot;"/>
    <numFmt numFmtId="227" formatCode="0\ &quot;people/ha&quot;"/>
    <numFmt numFmtId="228" formatCode="&quot;$&quot;#,##0.00\ &quot;p.m.&quot;"/>
    <numFmt numFmtId="229" formatCode="&quot;$&quot;0.00\ &quot;/m2 p.m.&quot;"/>
    <numFmt numFmtId="230" formatCode="0%\ &quot;of value&quot;"/>
    <numFmt numFmtId="232" formatCode="&quot;$&quot;0.00\ &quot;/m2 gross&quot;"/>
  </numFmts>
  <fonts count="101" x14ac:knownFonts="1">
    <font>
      <sz val="10"/>
      <name val="Verdana"/>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0"/>
      <name val="Verdana"/>
      <family val="2"/>
    </font>
    <font>
      <sz val="11"/>
      <color theme="1"/>
      <name val="Calibri"/>
      <family val="2"/>
      <scheme val="minor"/>
    </font>
    <font>
      <sz val="10"/>
      <name val="Arial"/>
      <family val="2"/>
    </font>
    <font>
      <u/>
      <sz val="10"/>
      <color theme="11"/>
      <name val="Verdana"/>
      <family val="2"/>
    </font>
    <font>
      <b/>
      <u/>
      <sz val="12"/>
      <color theme="1"/>
      <name val="Arial"/>
      <family val="2"/>
    </font>
    <font>
      <sz val="8"/>
      <color theme="1"/>
      <name val="Arial"/>
      <family val="2"/>
    </font>
    <font>
      <sz val="9"/>
      <color theme="1"/>
      <name val="Arial"/>
      <family val="2"/>
    </font>
    <font>
      <b/>
      <sz val="9"/>
      <color theme="1"/>
      <name val="Arial"/>
      <family val="2"/>
    </font>
    <font>
      <sz val="9"/>
      <color rgb="FFFF0000"/>
      <name val="Arial"/>
      <family val="2"/>
    </font>
    <font>
      <sz val="9"/>
      <color theme="0" tint="-0.499984740745262"/>
      <name val="Arial"/>
      <family val="2"/>
    </font>
    <font>
      <i/>
      <sz val="9"/>
      <color theme="1"/>
      <name val="Arial"/>
      <family val="2"/>
    </font>
    <font>
      <sz val="9"/>
      <name val="Arial"/>
      <family val="2"/>
    </font>
    <font>
      <b/>
      <sz val="9"/>
      <name val="Arial"/>
      <family val="2"/>
    </font>
    <font>
      <b/>
      <sz val="12"/>
      <color theme="1"/>
      <name val="Arial"/>
      <family val="2"/>
    </font>
    <font>
      <sz val="8"/>
      <name val="Arial"/>
      <family val="2"/>
    </font>
    <font>
      <b/>
      <sz val="9"/>
      <color rgb="FFFF0000"/>
      <name val="Arial"/>
      <family val="2"/>
    </font>
    <font>
      <i/>
      <sz val="9"/>
      <name val="Arial"/>
      <family val="2"/>
    </font>
    <font>
      <b/>
      <i/>
      <sz val="9"/>
      <color theme="1"/>
      <name val="Arial"/>
      <family val="2"/>
    </font>
    <font>
      <b/>
      <sz val="9"/>
      <color theme="0" tint="-0.499984740745262"/>
      <name val="Arial"/>
      <family val="2"/>
    </font>
    <font>
      <i/>
      <sz val="9"/>
      <color rgb="FFFF0000"/>
      <name val="Arial"/>
      <family val="2"/>
    </font>
    <font>
      <i/>
      <sz val="9"/>
      <color theme="0" tint="-0.499984740745262"/>
      <name val="Arial"/>
      <family val="2"/>
    </font>
    <font>
      <sz val="8"/>
      <color theme="0" tint="-0.499984740745262"/>
      <name val="Arial"/>
      <family val="2"/>
    </font>
    <font>
      <sz val="10"/>
      <name val="Verdana"/>
      <family val="2"/>
    </font>
    <font>
      <b/>
      <sz val="8"/>
      <color theme="1"/>
      <name val="Arial"/>
      <family val="2"/>
    </font>
    <font>
      <b/>
      <i/>
      <sz val="9"/>
      <color rgb="FFFF0000"/>
      <name val="Arial"/>
      <family val="2"/>
    </font>
    <font>
      <b/>
      <sz val="9"/>
      <color theme="6" tint="-0.499984740745262"/>
      <name val="Arial"/>
      <family val="2"/>
    </font>
    <font>
      <sz val="10"/>
      <color rgb="FFFF0000"/>
      <name val="Verdana"/>
      <family val="2"/>
    </font>
    <font>
      <sz val="12"/>
      <color theme="1"/>
      <name val="Arial"/>
      <family val="2"/>
    </font>
    <font>
      <sz val="10"/>
      <color theme="1"/>
      <name val="Arial"/>
      <family val="2"/>
    </font>
    <font>
      <sz val="8"/>
      <color rgb="FFFF0000"/>
      <name val="Arial"/>
      <family val="2"/>
    </font>
    <font>
      <u/>
      <sz val="8"/>
      <color theme="1"/>
      <name val="Arial"/>
      <family val="2"/>
    </font>
    <font>
      <sz val="8"/>
      <name val="Verdana"/>
      <family val="2"/>
    </font>
    <font>
      <b/>
      <i/>
      <sz val="9"/>
      <name val="Arial"/>
      <family val="2"/>
    </font>
    <font>
      <sz val="10"/>
      <name val="Verdana"/>
      <family val="2"/>
    </font>
    <font>
      <b/>
      <sz val="12"/>
      <name val="Arial"/>
      <family val="2"/>
    </font>
    <font>
      <sz val="9"/>
      <color rgb="FF000000"/>
      <name val="Arial"/>
      <family val="2"/>
    </font>
    <font>
      <u/>
      <sz val="12"/>
      <color theme="1"/>
      <name val="Arial"/>
      <family val="2"/>
    </font>
    <font>
      <b/>
      <sz val="11"/>
      <color theme="1"/>
      <name val="Arial"/>
      <family val="2"/>
    </font>
    <font>
      <sz val="11"/>
      <color theme="1"/>
      <name val="Arial"/>
      <family val="2"/>
    </font>
    <font>
      <b/>
      <sz val="10"/>
      <name val="Verdana"/>
      <family val="2"/>
    </font>
    <font>
      <b/>
      <u/>
      <sz val="9"/>
      <color rgb="FFFF0000"/>
      <name val="Arial"/>
      <family val="2"/>
    </font>
    <font>
      <b/>
      <sz val="8"/>
      <color rgb="FFFF0000"/>
      <name val="Arial"/>
      <family val="2"/>
    </font>
    <font>
      <i/>
      <sz val="8"/>
      <name val="Arial"/>
      <family val="2"/>
    </font>
    <font>
      <i/>
      <sz val="8"/>
      <color rgb="FFFF0000"/>
      <name val="Arial"/>
      <family val="2"/>
    </font>
    <font>
      <i/>
      <u/>
      <sz val="8"/>
      <color theme="0" tint="-0.499984740745262"/>
      <name val="Arial"/>
      <family val="2"/>
    </font>
    <font>
      <u/>
      <sz val="8"/>
      <color theme="0" tint="-0.499984740745262"/>
      <name val="Arial"/>
      <family val="2"/>
    </font>
    <font>
      <b/>
      <i/>
      <u/>
      <sz val="9"/>
      <color theme="1"/>
      <name val="Arial"/>
      <family val="2"/>
    </font>
    <font>
      <sz val="11"/>
      <color rgb="FFFF0000"/>
      <name val="Arial"/>
      <family val="2"/>
    </font>
    <font>
      <b/>
      <i/>
      <sz val="9"/>
      <color theme="6" tint="-0.499984740745262"/>
      <name val="Arial"/>
      <family val="2"/>
    </font>
    <font>
      <b/>
      <i/>
      <sz val="9"/>
      <color theme="4" tint="-0.499984740745262"/>
      <name val="Arial"/>
      <family val="2"/>
    </font>
    <font>
      <b/>
      <i/>
      <sz val="9"/>
      <color theme="5" tint="-0.499984740745262"/>
      <name val="Arial"/>
      <family val="2"/>
    </font>
    <font>
      <b/>
      <i/>
      <sz val="9"/>
      <color theme="0" tint="-0.499984740745262"/>
      <name val="Arial"/>
      <family val="2"/>
    </font>
    <font>
      <b/>
      <i/>
      <u/>
      <sz val="8"/>
      <name val="Arial"/>
      <family val="2"/>
    </font>
    <font>
      <sz val="9"/>
      <color theme="6" tint="-0.499984740745262"/>
      <name val="Arial"/>
      <family val="2"/>
    </font>
    <font>
      <sz val="9"/>
      <color theme="5" tint="-0.499984740745262"/>
      <name val="Arial"/>
      <family val="2"/>
    </font>
    <font>
      <b/>
      <sz val="9"/>
      <color theme="5" tint="-0.499984740745262"/>
      <name val="Arial"/>
      <family val="2"/>
    </font>
    <font>
      <u/>
      <sz val="9"/>
      <color theme="0" tint="-0.499984740745262"/>
      <name val="Arial"/>
      <family val="2"/>
    </font>
    <font>
      <b/>
      <sz val="11"/>
      <name val="Arial"/>
      <family val="2"/>
    </font>
    <font>
      <u/>
      <sz val="9"/>
      <color theme="1"/>
      <name val="Arial"/>
      <family val="2"/>
    </font>
    <font>
      <b/>
      <sz val="12"/>
      <color rgb="FFFF0000"/>
      <name val="Arial"/>
      <family val="2"/>
    </font>
    <font>
      <u/>
      <sz val="9"/>
      <color rgb="FFFF0000"/>
      <name val="Arial"/>
      <family val="2"/>
    </font>
    <font>
      <sz val="12"/>
      <color rgb="FF006100"/>
      <name val="Calibri"/>
      <family val="2"/>
      <scheme val="minor"/>
    </font>
    <font>
      <sz val="12"/>
      <color rgb="FF9C0006"/>
      <name val="Calibri"/>
      <family val="2"/>
      <scheme val="minor"/>
    </font>
    <font>
      <u/>
      <sz val="9"/>
      <name val="Arial"/>
      <family val="2"/>
    </font>
    <font>
      <b/>
      <i/>
      <u/>
      <sz val="9"/>
      <name val="Arial"/>
      <family val="2"/>
    </font>
    <font>
      <sz val="11"/>
      <color theme="0" tint="-0.499984740745262"/>
      <name val="Arial"/>
      <family val="2"/>
    </font>
    <font>
      <b/>
      <sz val="10"/>
      <color theme="1"/>
      <name val="Arial"/>
      <family val="2"/>
    </font>
    <font>
      <b/>
      <u/>
      <sz val="11"/>
      <name val="Arial"/>
      <family val="2"/>
    </font>
    <font>
      <i/>
      <u/>
      <sz val="9"/>
      <name val="Arial"/>
      <family val="2"/>
    </font>
    <font>
      <b/>
      <sz val="12"/>
      <color theme="0"/>
      <name val="Arial"/>
      <family val="2"/>
    </font>
    <font>
      <sz val="11"/>
      <color theme="0"/>
      <name val="Arial"/>
      <family val="2"/>
    </font>
    <font>
      <b/>
      <sz val="11"/>
      <color theme="0"/>
      <name val="Arial"/>
      <family val="2"/>
    </font>
    <font>
      <i/>
      <sz val="11"/>
      <color theme="0" tint="-0.499984740745262"/>
      <name val="Arial"/>
      <family val="2"/>
    </font>
    <font>
      <sz val="9"/>
      <color rgb="FF006100"/>
      <name val="Arial"/>
      <family val="2"/>
    </font>
    <font>
      <sz val="9"/>
      <color rgb="FF9C0006"/>
      <name val="Arial"/>
      <family val="2"/>
    </font>
    <font>
      <b/>
      <sz val="14"/>
      <color rgb="FF006100"/>
      <name val="Arial"/>
      <family val="2"/>
    </font>
    <font>
      <b/>
      <sz val="14"/>
      <color rgb="FF9C0006"/>
      <name val="Arial"/>
      <family val="2"/>
    </font>
    <font>
      <b/>
      <sz val="20"/>
      <color theme="0"/>
      <name val="Arial"/>
      <family val="2"/>
    </font>
    <font>
      <b/>
      <u/>
      <sz val="12"/>
      <color rgb="FFFF0000"/>
      <name val="Arial"/>
      <family val="2"/>
    </font>
    <font>
      <b/>
      <i/>
      <sz val="9"/>
      <color theme="0" tint="-0.14999847407452621"/>
      <name val="Arial"/>
      <family val="2"/>
    </font>
    <font>
      <b/>
      <i/>
      <sz val="8"/>
      <name val="Arial"/>
      <family val="2"/>
    </font>
    <font>
      <b/>
      <u/>
      <sz val="11"/>
      <color rgb="FFFF0000"/>
      <name val="Arial"/>
      <family val="2"/>
    </font>
    <font>
      <i/>
      <sz val="10"/>
      <color theme="1"/>
      <name val="Arial"/>
      <family val="2"/>
    </font>
    <font>
      <b/>
      <i/>
      <u/>
      <sz val="12"/>
      <name val="Arial"/>
      <family val="2"/>
    </font>
    <font>
      <i/>
      <sz val="9"/>
      <color theme="0" tint="-0.14999847407452621"/>
      <name val="Arial"/>
      <family val="2"/>
    </font>
    <font>
      <u/>
      <sz val="8"/>
      <color rgb="FFFF0000"/>
      <name val="Arial"/>
      <family val="2"/>
    </font>
  </fonts>
  <fills count="52">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EFCC"/>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DA9B99"/>
        <bgColor indexed="64"/>
      </patternFill>
    </fill>
    <fill>
      <patternFill patternType="solid">
        <fgColor rgb="FFC07573"/>
        <bgColor indexed="64"/>
      </patternFill>
    </fill>
    <fill>
      <patternFill patternType="solid">
        <fgColor rgb="FFFAD1AF"/>
        <bgColor indexed="64"/>
      </patternFill>
    </fill>
    <fill>
      <patternFill patternType="solid">
        <fgColor rgb="FFFCE1CA"/>
        <bgColor indexed="64"/>
      </patternFill>
    </fill>
    <fill>
      <patternFill patternType="solid">
        <fgColor rgb="FFFDEFE4"/>
        <bgColor indexed="64"/>
      </patternFill>
    </fill>
    <fill>
      <patternFill patternType="solid">
        <fgColor rgb="FFE6B9B8"/>
        <bgColor indexed="64"/>
      </patternFill>
    </fill>
    <fill>
      <patternFill patternType="solid">
        <fgColor rgb="FFFFF7E6"/>
        <bgColor indexed="64"/>
      </patternFill>
    </fill>
    <fill>
      <patternFill patternType="solid">
        <fgColor rgb="FFD9E5F1"/>
        <bgColor indexed="64"/>
      </patternFill>
    </fill>
    <fill>
      <patternFill patternType="solid">
        <fgColor rgb="FFD7E4B7"/>
        <bgColor indexed="64"/>
      </patternFill>
    </fill>
    <fill>
      <patternFill patternType="solid">
        <fgColor rgb="FFEAF1D9"/>
        <bgColor indexed="64"/>
      </patternFill>
    </fill>
    <fill>
      <patternFill patternType="solid">
        <fgColor rgb="FFFFE6E6"/>
        <bgColor indexed="64"/>
      </patternFill>
    </fill>
    <fill>
      <patternFill patternType="solid">
        <fgColor rgb="FFFFFF00"/>
        <bgColor indexed="64"/>
      </patternFill>
    </fill>
    <fill>
      <patternFill patternType="solid">
        <fgColor rgb="FFFFF8E6"/>
        <bgColor indexed="64"/>
      </patternFill>
    </fill>
    <fill>
      <patternFill patternType="solid">
        <fgColor rgb="FFF4E1E1"/>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2DCDB"/>
        <bgColor rgb="FF000000"/>
      </patternFill>
    </fill>
    <fill>
      <patternFill patternType="solid">
        <fgColor theme="4" tint="0.79998168889431442"/>
        <bgColor indexed="64"/>
      </patternFill>
    </fill>
    <fill>
      <patternFill patternType="solid">
        <fgColor theme="4" tint="0.59999389629810485"/>
        <bgColor indexed="64"/>
      </patternFill>
    </fill>
    <fill>
      <patternFill patternType="solid">
        <fgColor rgb="FFC07573"/>
        <bgColor rgb="FF000000"/>
      </patternFill>
    </fill>
    <fill>
      <patternFill patternType="solid">
        <fgColor rgb="FFDA9B99"/>
        <bgColor rgb="FF000000"/>
      </patternFill>
    </fill>
    <fill>
      <patternFill patternType="solid">
        <fgColor rgb="FFE6B8B7"/>
        <bgColor rgb="FF000000"/>
      </patternFill>
    </fill>
    <fill>
      <patternFill patternType="solid">
        <fgColor rgb="FFFAD1AF"/>
        <bgColor rgb="FF000000"/>
      </patternFill>
    </fill>
    <fill>
      <patternFill patternType="solid">
        <fgColor rgb="FFFCE1CA"/>
        <bgColor rgb="FF000000"/>
      </patternFill>
    </fill>
    <fill>
      <patternFill patternType="solid">
        <fgColor rgb="FFFDEFE4"/>
        <bgColor rgb="FF000000"/>
      </patternFill>
    </fill>
    <fill>
      <patternFill patternType="solid">
        <fgColor rgb="FFFFEFCC"/>
        <bgColor rgb="FF000000"/>
      </patternFill>
    </fill>
    <fill>
      <patternFill patternType="solid">
        <fgColor rgb="FFFFF7E6"/>
        <bgColor rgb="FF000000"/>
      </patternFill>
    </fill>
    <fill>
      <patternFill patternType="solid">
        <fgColor rgb="FFD9E5F1"/>
        <bgColor rgb="FF000000"/>
      </patternFill>
    </fill>
    <fill>
      <patternFill patternType="solid">
        <fgColor theme="7" tint="0.79998168889431442"/>
        <bgColor indexed="64"/>
      </patternFill>
    </fill>
    <fill>
      <patternFill patternType="solid">
        <fgColor theme="1"/>
        <bgColor indexed="64"/>
      </patternFill>
    </fill>
    <fill>
      <patternFill patternType="solid">
        <fgColor theme="3" tint="0.79998168889431442"/>
        <bgColor indexed="64"/>
      </patternFill>
    </fill>
    <fill>
      <patternFill patternType="solid">
        <fgColor theme="0" tint="-0.14996795556505021"/>
        <bgColor indexed="64"/>
      </patternFill>
    </fill>
    <fill>
      <patternFill patternType="solid">
        <fgColor theme="6" tint="0.39994506668294322"/>
        <bgColor indexed="64"/>
      </patternFill>
    </fill>
    <fill>
      <patternFill patternType="solid">
        <fgColor theme="6" tint="0.59999389629810485"/>
        <bgColor indexed="64"/>
      </patternFill>
    </fill>
    <fill>
      <patternFill patternType="solid">
        <fgColor theme="4" tint="0.599963377788628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rgb="FF00B0F0"/>
        <bgColor indexed="64"/>
      </patternFill>
    </fill>
    <fill>
      <patternFill patternType="solid">
        <fgColor rgb="FFC6EFCE"/>
      </patternFill>
    </fill>
    <fill>
      <patternFill patternType="solid">
        <fgColor rgb="FFFFC7CE"/>
      </patternFill>
    </fill>
    <fill>
      <patternFill patternType="solid">
        <fgColor theme="0" tint="-0.249977111117893"/>
        <bgColor indexed="64"/>
      </patternFill>
    </fill>
    <fill>
      <patternFill patternType="solid">
        <fgColor theme="4" tint="0.59999389629810485"/>
        <bgColor rgb="FF000000"/>
      </patternFill>
    </fill>
    <fill>
      <patternFill patternType="solid">
        <fgColor theme="4" tint="0.79998168889431442"/>
        <bgColor rgb="FF000000"/>
      </patternFill>
    </fill>
  </fills>
  <borders count="137">
    <border>
      <left/>
      <right/>
      <top/>
      <bottom/>
      <diagonal/>
    </border>
    <border>
      <left/>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auto="1"/>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auto="1"/>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rgb="FFFF0000"/>
      </left>
      <right/>
      <top style="thin">
        <color rgb="FFFF0000"/>
      </top>
      <bottom/>
      <diagonal/>
    </border>
    <border>
      <left/>
      <right style="thin">
        <color rgb="FFFF0000"/>
      </right>
      <top style="thin">
        <color rgb="FFFF0000"/>
      </top>
      <bottom/>
      <diagonal/>
    </border>
    <border>
      <left style="thin">
        <color rgb="FFFF0000"/>
      </left>
      <right/>
      <top/>
      <bottom/>
      <diagonal/>
    </border>
    <border>
      <left/>
      <right style="thin">
        <color rgb="FFFF0000"/>
      </right>
      <top/>
      <bottom/>
      <diagonal/>
    </border>
    <border>
      <left style="thin">
        <color rgb="FFFF0000"/>
      </left>
      <right/>
      <top/>
      <bottom style="thin">
        <color rgb="FFFF0000"/>
      </bottom>
      <diagonal/>
    </border>
    <border>
      <left/>
      <right style="thin">
        <color rgb="FFFF0000"/>
      </right>
      <top/>
      <bottom style="thin">
        <color rgb="FFFF0000"/>
      </bottom>
      <diagonal/>
    </border>
    <border>
      <left/>
      <right style="thin">
        <color indexed="64"/>
      </right>
      <top/>
      <bottom style="thin">
        <color indexed="64"/>
      </bottom>
      <diagonal/>
    </border>
    <border>
      <left style="thin">
        <color indexed="64"/>
      </left>
      <right/>
      <top/>
      <bottom style="thin">
        <color indexed="64"/>
      </bottom>
      <diagonal/>
    </border>
    <border>
      <left/>
      <right style="thick">
        <color theme="6"/>
      </right>
      <top/>
      <bottom/>
      <diagonal/>
    </border>
    <border>
      <left/>
      <right/>
      <top/>
      <bottom style="thick">
        <color theme="6"/>
      </bottom>
      <diagonal/>
    </border>
    <border>
      <left style="thin">
        <color indexed="64"/>
      </left>
      <right/>
      <top/>
      <bottom style="thick">
        <color theme="6"/>
      </bottom>
      <diagonal/>
    </border>
    <border>
      <left/>
      <right style="thick">
        <color theme="6"/>
      </right>
      <top/>
      <bottom style="thick">
        <color theme="6"/>
      </bottom>
      <diagonal/>
    </border>
    <border>
      <left style="thin">
        <color indexed="64"/>
      </left>
      <right style="thin">
        <color indexed="64"/>
      </right>
      <top/>
      <bottom style="thick">
        <color theme="6"/>
      </bottom>
      <diagonal/>
    </border>
    <border>
      <left style="thick">
        <color theme="4"/>
      </left>
      <right style="medium">
        <color indexed="64"/>
      </right>
      <top/>
      <bottom/>
      <diagonal/>
    </border>
    <border>
      <left/>
      <right style="thick">
        <color theme="4"/>
      </right>
      <top/>
      <bottom/>
      <diagonal/>
    </border>
    <border>
      <left style="thin">
        <color indexed="64"/>
      </left>
      <right style="thick">
        <color theme="4"/>
      </right>
      <top style="thin">
        <color indexed="64"/>
      </top>
      <bottom style="thin">
        <color indexed="64"/>
      </bottom>
      <diagonal/>
    </border>
    <border>
      <left style="thick">
        <color theme="4"/>
      </left>
      <right style="medium">
        <color indexed="64"/>
      </right>
      <top style="thick">
        <color theme="4"/>
      </top>
      <bottom style="thick">
        <color theme="4"/>
      </bottom>
      <diagonal/>
    </border>
    <border>
      <left/>
      <right/>
      <top style="thick">
        <color theme="4"/>
      </top>
      <bottom style="thick">
        <color theme="4"/>
      </bottom>
      <diagonal/>
    </border>
    <border>
      <left style="thin">
        <color indexed="64"/>
      </left>
      <right/>
      <top style="thick">
        <color theme="4"/>
      </top>
      <bottom style="thick">
        <color theme="4"/>
      </bottom>
      <diagonal/>
    </border>
    <border>
      <left/>
      <right style="thick">
        <color theme="4"/>
      </right>
      <top style="thick">
        <color theme="4"/>
      </top>
      <bottom style="thick">
        <color theme="4"/>
      </bottom>
      <diagonal/>
    </border>
    <border>
      <left style="thin">
        <color indexed="64"/>
      </left>
      <right style="thin">
        <color indexed="64"/>
      </right>
      <top style="thick">
        <color theme="4"/>
      </top>
      <bottom style="thick">
        <color theme="4"/>
      </bottom>
      <diagonal/>
    </border>
    <border>
      <left style="thin">
        <color indexed="64"/>
      </left>
      <right style="thick">
        <color theme="4"/>
      </right>
      <top style="thick">
        <color theme="4"/>
      </top>
      <bottom style="thick">
        <color theme="4"/>
      </bottom>
      <diagonal/>
    </border>
    <border>
      <left/>
      <right/>
      <top style="thick">
        <color theme="6"/>
      </top>
      <bottom style="thick">
        <color theme="6"/>
      </bottom>
      <diagonal/>
    </border>
    <border>
      <left style="thin">
        <color indexed="64"/>
      </left>
      <right style="thin">
        <color indexed="64"/>
      </right>
      <top style="thick">
        <color theme="6"/>
      </top>
      <bottom style="thick">
        <color theme="6"/>
      </bottom>
      <diagonal/>
    </border>
    <border>
      <left style="thin">
        <color indexed="64"/>
      </left>
      <right/>
      <top style="thick">
        <color theme="6"/>
      </top>
      <bottom style="thick">
        <color theme="6"/>
      </bottom>
      <diagonal/>
    </border>
    <border>
      <left style="thin">
        <color indexed="64"/>
      </left>
      <right style="thick">
        <color theme="6"/>
      </right>
      <top style="thick">
        <color theme="6"/>
      </top>
      <bottom style="thick">
        <color theme="6"/>
      </bottom>
      <diagonal/>
    </border>
    <border>
      <left style="thick">
        <color theme="4"/>
      </left>
      <right style="thin">
        <color indexed="64"/>
      </right>
      <top style="thick">
        <color theme="4"/>
      </top>
      <bottom style="thick">
        <color theme="4"/>
      </bottom>
      <diagonal/>
    </border>
    <border>
      <left style="thick">
        <color theme="4"/>
      </left>
      <right/>
      <top/>
      <bottom/>
      <diagonal/>
    </border>
    <border>
      <left style="thick">
        <color theme="4"/>
      </left>
      <right style="thin">
        <color indexed="64"/>
      </right>
      <top style="thin">
        <color indexed="64"/>
      </top>
      <bottom style="thin">
        <color indexed="64"/>
      </bottom>
      <diagonal/>
    </border>
    <border>
      <left style="thick">
        <color theme="4"/>
      </left>
      <right/>
      <top style="thick">
        <color theme="4"/>
      </top>
      <bottom style="thick">
        <color theme="4"/>
      </bottom>
      <diagonal/>
    </border>
    <border>
      <left style="thick">
        <color theme="5"/>
      </left>
      <right style="thick">
        <color theme="5"/>
      </right>
      <top style="thick">
        <color theme="5"/>
      </top>
      <bottom style="thick">
        <color theme="5"/>
      </bottom>
      <diagonal/>
    </border>
    <border>
      <left style="thick">
        <color theme="5"/>
      </left>
      <right style="thin">
        <color indexed="64"/>
      </right>
      <top style="thin">
        <color indexed="64"/>
      </top>
      <bottom style="thin">
        <color indexed="64"/>
      </bottom>
      <diagonal/>
    </border>
    <border>
      <left style="thin">
        <color indexed="64"/>
      </left>
      <right style="thick">
        <color theme="5"/>
      </right>
      <top style="thin">
        <color indexed="64"/>
      </top>
      <bottom style="thin">
        <color indexed="64"/>
      </bottom>
      <diagonal/>
    </border>
    <border>
      <left style="thick">
        <color theme="5"/>
      </left>
      <right/>
      <top/>
      <bottom/>
      <diagonal/>
    </border>
    <border>
      <left/>
      <right style="thick">
        <color theme="5"/>
      </right>
      <top/>
      <bottom/>
      <diagonal/>
    </border>
    <border>
      <left style="thick">
        <color theme="5"/>
      </left>
      <right style="thick">
        <color theme="5"/>
      </right>
      <top/>
      <bottom/>
      <diagonal/>
    </border>
    <border>
      <left style="thick">
        <color theme="5"/>
      </left>
      <right style="thin">
        <color indexed="64"/>
      </right>
      <top/>
      <bottom style="thin">
        <color indexed="64"/>
      </bottom>
      <diagonal/>
    </border>
    <border>
      <left style="thin">
        <color indexed="64"/>
      </left>
      <right style="thick">
        <color theme="5"/>
      </right>
      <top/>
      <bottom style="thin">
        <color indexed="64"/>
      </bottom>
      <diagonal/>
    </border>
    <border>
      <left/>
      <right/>
      <top style="thick">
        <color theme="5"/>
      </top>
      <bottom style="thick">
        <color theme="5"/>
      </bottom>
      <diagonal/>
    </border>
    <border>
      <left style="thick">
        <color theme="5"/>
      </left>
      <right/>
      <top style="thick">
        <color theme="5"/>
      </top>
      <bottom style="thick">
        <color theme="5"/>
      </bottom>
      <diagonal/>
    </border>
    <border>
      <left/>
      <right style="thick">
        <color theme="5"/>
      </right>
      <top style="thick">
        <color theme="5"/>
      </top>
      <bottom style="thick">
        <color theme="5"/>
      </bottom>
      <diagonal/>
    </border>
    <border>
      <left style="thick">
        <color theme="0" tint="-0.499984740745262"/>
      </left>
      <right style="thick">
        <color theme="0" tint="-0.499984740745262"/>
      </right>
      <top style="thick">
        <color theme="0" tint="-0.499984740745262"/>
      </top>
      <bottom style="thick">
        <color theme="0" tint="-0.499984740745262"/>
      </bottom>
      <diagonal/>
    </border>
    <border>
      <left style="thick">
        <color theme="0" tint="-0.499984740745262"/>
      </left>
      <right style="medium">
        <color indexed="64"/>
      </right>
      <top style="thick">
        <color theme="0" tint="-0.499984740745262"/>
      </top>
      <bottom style="thick">
        <color theme="0" tint="-0.499984740745262"/>
      </bottom>
      <diagonal/>
    </border>
    <border>
      <left/>
      <right/>
      <top style="thick">
        <color theme="0" tint="-0.499984740745262"/>
      </top>
      <bottom style="thick">
        <color theme="0" tint="-0.499984740745262"/>
      </bottom>
      <diagonal/>
    </border>
    <border>
      <left style="thin">
        <color indexed="64"/>
      </left>
      <right/>
      <top style="thick">
        <color theme="0" tint="-0.499984740745262"/>
      </top>
      <bottom style="thick">
        <color theme="0" tint="-0.499984740745262"/>
      </bottom>
      <diagonal/>
    </border>
    <border>
      <left/>
      <right style="thick">
        <color theme="0" tint="-0.499984740745262"/>
      </right>
      <top style="thick">
        <color theme="0" tint="-0.499984740745262"/>
      </top>
      <bottom style="thick">
        <color theme="0" tint="-0.499984740745262"/>
      </bottom>
      <diagonal/>
    </border>
    <border>
      <left style="thick">
        <color theme="6"/>
      </left>
      <right style="thick">
        <color theme="6"/>
      </right>
      <top style="thick">
        <color theme="6"/>
      </top>
      <bottom style="thick">
        <color theme="6"/>
      </bottom>
      <diagonal/>
    </border>
    <border>
      <left style="thick">
        <color theme="6"/>
      </left>
      <right style="thick">
        <color theme="6"/>
      </right>
      <top/>
      <bottom/>
      <diagonal/>
    </border>
    <border>
      <left style="thick">
        <color theme="6"/>
      </left>
      <right style="thick">
        <color theme="6"/>
      </right>
      <top/>
      <bottom style="thick">
        <color theme="6"/>
      </bottom>
      <diagonal/>
    </border>
    <border>
      <left style="thin">
        <color indexed="64"/>
      </left>
      <right style="thin">
        <color indexed="64"/>
      </right>
      <top style="thick">
        <color theme="5"/>
      </top>
      <bottom style="thick">
        <color theme="5"/>
      </bottom>
      <diagonal/>
    </border>
    <border>
      <left style="thick">
        <color theme="5"/>
      </left>
      <right style="thick">
        <color theme="5"/>
      </right>
      <top/>
      <bottom style="thin">
        <color indexed="64"/>
      </bottom>
      <diagonal/>
    </border>
    <border>
      <left/>
      <right style="medium">
        <color indexed="64"/>
      </right>
      <top style="medium">
        <color indexed="64"/>
      </top>
      <bottom style="medium">
        <color indexed="64"/>
      </bottom>
      <diagonal/>
    </border>
    <border>
      <left/>
      <right/>
      <top/>
      <bottom style="thick">
        <color theme="6" tint="-0.24994659260841701"/>
      </bottom>
      <diagonal/>
    </border>
    <border>
      <left style="thick">
        <color theme="6" tint="-0.24994659260841701"/>
      </left>
      <right style="thick">
        <color theme="6" tint="-0.24994659260841701"/>
      </right>
      <top/>
      <bottom/>
      <diagonal/>
    </border>
    <border>
      <left style="thick">
        <color theme="6" tint="-0.24994659260841701"/>
      </left>
      <right style="thick">
        <color theme="6" tint="-0.24994659260841701"/>
      </right>
      <top style="thin">
        <color indexed="64"/>
      </top>
      <bottom style="thin">
        <color indexed="64"/>
      </bottom>
      <diagonal/>
    </border>
    <border>
      <left style="thick">
        <color theme="6" tint="-0.24994659260841701"/>
      </left>
      <right style="thick">
        <color theme="6" tint="-0.24994659260841701"/>
      </right>
      <top/>
      <bottom style="thick">
        <color theme="6" tint="-0.24994659260841701"/>
      </bottom>
      <diagonal/>
    </border>
    <border>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auto="1"/>
      </top>
      <bottom/>
      <diagonal/>
    </border>
    <border>
      <left style="thin">
        <color indexed="64"/>
      </left>
      <right style="thin">
        <color indexed="64"/>
      </right>
      <top style="medium">
        <color indexed="64"/>
      </top>
      <bottom style="medium">
        <color indexed="64"/>
      </bottom>
      <diagonal/>
    </border>
    <border>
      <left/>
      <right/>
      <top/>
      <bottom style="thick">
        <color theme="4"/>
      </bottom>
      <diagonal/>
    </border>
    <border>
      <left style="thin">
        <color rgb="FFFF0000"/>
      </left>
      <right style="thin">
        <color rgb="FFFF0000"/>
      </right>
      <top style="thin">
        <color rgb="FFFF0000"/>
      </top>
      <bottom/>
      <diagonal/>
    </border>
    <border>
      <left style="thin">
        <color rgb="FFFF0000"/>
      </left>
      <right style="thin">
        <color rgb="FFFF0000"/>
      </right>
      <top/>
      <bottom/>
      <diagonal/>
    </border>
    <border>
      <left style="thin">
        <color rgb="FFFF0000"/>
      </left>
      <right style="thin">
        <color rgb="FFFF0000"/>
      </right>
      <top/>
      <bottom style="thin">
        <color rgb="FFFF0000"/>
      </bottom>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
      <left style="thin">
        <color indexed="64"/>
      </left>
      <right/>
      <top style="thin">
        <color indexed="64"/>
      </top>
      <bottom/>
      <diagonal/>
    </border>
    <border>
      <left/>
      <right style="medium">
        <color indexed="64"/>
      </right>
      <top style="thick">
        <color theme="0" tint="-0.499984740745262"/>
      </top>
      <bottom style="thick">
        <color theme="0" tint="-0.499984740745262"/>
      </bottom>
      <diagonal/>
    </border>
    <border>
      <left style="thin">
        <color auto="1"/>
      </left>
      <right style="thin">
        <color auto="1"/>
      </right>
      <top style="thick">
        <color theme="0" tint="-0.499984740745262"/>
      </top>
      <bottom style="thick">
        <color theme="0" tint="-0.499984740745262"/>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diagonal/>
    </border>
    <border>
      <left/>
      <right/>
      <top style="thick">
        <color theme="0" tint="-0.499984740745262"/>
      </top>
      <bottom style="thin">
        <color indexed="64"/>
      </bottom>
      <diagonal/>
    </border>
    <border>
      <left/>
      <right style="medium">
        <color indexed="64"/>
      </right>
      <top style="thick">
        <color theme="0" tint="-0.499984740745262"/>
      </top>
      <bottom style="thin">
        <color indexed="64"/>
      </bottom>
      <diagonal/>
    </border>
    <border>
      <left style="thin">
        <color indexed="64"/>
      </left>
      <right style="thin">
        <color indexed="64"/>
      </right>
      <top style="thick">
        <color theme="0" tint="-0.499984740745262"/>
      </top>
      <bottom style="thin">
        <color indexed="64"/>
      </bottom>
      <diagonal/>
    </border>
    <border>
      <left style="medium">
        <color theme="1"/>
      </left>
      <right style="medium">
        <color theme="1"/>
      </right>
      <top/>
      <bottom/>
      <diagonal/>
    </border>
    <border>
      <left style="medium">
        <color theme="1"/>
      </left>
      <right style="medium">
        <color theme="1"/>
      </right>
      <top/>
      <bottom style="medium">
        <color indexed="64"/>
      </bottom>
      <diagonal/>
    </border>
    <border>
      <left style="medium">
        <color theme="1"/>
      </left>
      <right style="medium">
        <color theme="1"/>
      </right>
      <top style="thick">
        <color theme="0" tint="-0.499984740745262"/>
      </top>
      <bottom style="thick">
        <color theme="0" tint="-0.499984740745262"/>
      </bottom>
      <diagonal/>
    </border>
    <border>
      <left style="medium">
        <color indexed="64"/>
      </left>
      <right style="medium">
        <color indexed="64"/>
      </right>
      <top style="thick">
        <color theme="0" tint="-0.499984740745262"/>
      </top>
      <bottom style="thick">
        <color theme="0" tint="-0.499984740745262"/>
      </bottom>
      <diagonal/>
    </border>
    <border>
      <left/>
      <right style="medium">
        <color auto="1"/>
      </right>
      <top style="thin">
        <color indexed="64"/>
      </top>
      <bottom style="thin">
        <color indexed="64"/>
      </bottom>
      <diagonal/>
    </border>
    <border>
      <left style="thick">
        <color theme="6"/>
      </left>
      <right/>
      <top style="thick">
        <color theme="6"/>
      </top>
      <bottom/>
      <diagonal/>
    </border>
    <border>
      <left/>
      <right/>
      <top style="thick">
        <color theme="6"/>
      </top>
      <bottom/>
      <diagonal/>
    </border>
    <border>
      <left/>
      <right style="thick">
        <color theme="6"/>
      </right>
      <top style="thick">
        <color theme="6"/>
      </top>
      <bottom/>
      <diagonal/>
    </border>
    <border>
      <left/>
      <right style="medium">
        <color indexed="64"/>
      </right>
      <top style="thick">
        <color theme="0" tint="-0.499984740745262"/>
      </top>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top style="thick">
        <color theme="0" tint="-0.499984740745262"/>
      </top>
      <bottom/>
      <diagonal/>
    </border>
    <border>
      <left/>
      <right style="thick">
        <color theme="0" tint="-0.499984740745262"/>
      </right>
      <top style="thick">
        <color theme="0" tint="-0.499984740745262"/>
      </top>
      <bottom/>
      <diagonal/>
    </border>
    <border>
      <left style="thick">
        <color theme="6"/>
      </left>
      <right/>
      <top style="thick">
        <color theme="6"/>
      </top>
      <bottom style="thick">
        <color theme="6"/>
      </bottom>
      <diagonal/>
    </border>
    <border>
      <left/>
      <right style="thick">
        <color theme="6"/>
      </right>
      <top style="thick">
        <color theme="6"/>
      </top>
      <bottom style="thick">
        <color theme="6"/>
      </bottom>
      <diagonal/>
    </border>
  </borders>
  <cellStyleXfs count="170">
    <xf numFmtId="0" fontId="0" fillId="0" borderId="0"/>
    <xf numFmtId="0" fontId="14" fillId="0" borderId="0"/>
    <xf numFmtId="41" fontId="13" fillId="0" borderId="0" applyFont="0" applyFill="0" applyBorder="0" applyAlignment="0" applyProtection="0"/>
    <xf numFmtId="164" fontId="13" fillId="0" borderId="0" applyFont="0" applyFill="0" applyBorder="0" applyAlignment="0" applyProtection="0"/>
    <xf numFmtId="41" fontId="13" fillId="0" borderId="0" applyFont="0" applyFill="0" applyBorder="0" applyAlignment="0" applyProtection="0"/>
    <xf numFmtId="41" fontId="13" fillId="0" borderId="0" applyFont="0" applyFill="0" applyBorder="0" applyAlignment="0" applyProtection="0"/>
    <xf numFmtId="41" fontId="13" fillId="0" borderId="0" applyFont="0" applyFill="0" applyBorder="0" applyAlignment="0" applyProtection="0"/>
    <xf numFmtId="41" fontId="13" fillId="0" borderId="0" applyFont="0" applyFill="0" applyBorder="0" applyAlignment="0" applyProtection="0"/>
    <xf numFmtId="41" fontId="13" fillId="0" borderId="0" applyFont="0" applyFill="0" applyBorder="0" applyAlignment="0" applyProtection="0"/>
    <xf numFmtId="41" fontId="13" fillId="0" borderId="0" applyFont="0" applyFill="0" applyBorder="0" applyAlignment="0" applyProtection="0"/>
    <xf numFmtId="43" fontId="16" fillId="0" borderId="0" applyFont="0" applyFill="0" applyBorder="0" applyAlignment="0" applyProtection="0"/>
    <xf numFmtId="43" fontId="13" fillId="0" borderId="0" applyFont="0" applyFill="0" applyBorder="0" applyAlignment="0" applyProtection="0"/>
    <xf numFmtId="44" fontId="17" fillId="0" borderId="0" applyFont="0" applyFill="0" applyBorder="0" applyAlignment="0" applyProtection="0"/>
    <xf numFmtId="0" fontId="13" fillId="0" borderId="0"/>
    <xf numFmtId="0" fontId="13" fillId="0" borderId="0"/>
    <xf numFmtId="0" fontId="16" fillId="0" borderId="0"/>
    <xf numFmtId="0" fontId="13" fillId="0" borderId="0"/>
    <xf numFmtId="0" fontId="13" fillId="0" borderId="0"/>
    <xf numFmtId="0" fontId="13" fillId="0" borderId="0"/>
    <xf numFmtId="0" fontId="13" fillId="0" borderId="0"/>
    <xf numFmtId="0" fontId="13" fillId="0" borderId="0"/>
    <xf numFmtId="0" fontId="15" fillId="0" borderId="0"/>
    <xf numFmtId="0" fontId="13" fillId="0" borderId="0"/>
    <xf numFmtId="0" fontId="13" fillId="0" borderId="0"/>
    <xf numFmtId="0" fontId="13" fillId="0" borderId="0"/>
    <xf numFmtId="0" fontId="13" fillId="0" borderId="0"/>
    <xf numFmtId="0" fontId="17" fillId="0" borderId="0"/>
    <xf numFmtId="9" fontId="13" fillId="0" borderId="0" applyFont="0" applyFill="0" applyBorder="0" applyAlignment="0" applyProtection="0"/>
    <xf numFmtId="9" fontId="17" fillId="0" borderId="0" applyFont="0" applyFill="0" applyBorder="0" applyAlignment="0" applyProtection="0"/>
    <xf numFmtId="0" fontId="12"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1" fillId="0" borderId="0"/>
    <xf numFmtId="41"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9"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8" fillId="0" borderId="0"/>
    <xf numFmtId="0" fontId="8" fillId="0" borderId="0"/>
    <xf numFmtId="0" fontId="8" fillId="0" borderId="0"/>
    <xf numFmtId="0" fontId="15" fillId="0" borderId="0"/>
    <xf numFmtId="0" fontId="7" fillId="0" borderId="0"/>
    <xf numFmtId="44" fontId="15" fillId="0" borderId="0" applyFont="0" applyFill="0" applyBorder="0" applyAlignment="0" applyProtection="0"/>
    <xf numFmtId="0" fontId="6" fillId="0" borderId="0"/>
    <xf numFmtId="9" fontId="6" fillId="0" borderId="0" applyFont="0" applyFill="0" applyBorder="0" applyAlignment="0" applyProtection="0"/>
    <xf numFmtId="9" fontId="15" fillId="0" borderId="0" applyFont="0" applyFill="0" applyBorder="0" applyAlignment="0" applyProtection="0"/>
    <xf numFmtId="43" fontId="6" fillId="0" borderId="0" applyFont="0" applyFill="0" applyBorder="0" applyAlignment="0" applyProtection="0"/>
    <xf numFmtId="0" fontId="6" fillId="0" borderId="0"/>
    <xf numFmtId="0" fontId="5" fillId="0" borderId="0"/>
    <xf numFmtId="0" fontId="4" fillId="0" borderId="0"/>
    <xf numFmtId="9" fontId="4" fillId="0" borderId="0" applyFont="0" applyFill="0" applyBorder="0" applyAlignment="0" applyProtection="0"/>
    <xf numFmtId="9" fontId="37" fillId="0" borderId="0" applyFont="0" applyFill="0" applyBorder="0" applyAlignment="0" applyProtection="0"/>
    <xf numFmtId="0" fontId="3" fillId="0" borderId="0"/>
    <xf numFmtId="43" fontId="48" fillId="0" borderId="0" applyFont="0" applyFill="0" applyBorder="0" applyAlignment="0" applyProtection="0"/>
    <xf numFmtId="0" fontId="2" fillId="0" borderId="0"/>
    <xf numFmtId="0" fontId="1" fillId="0" borderId="0"/>
    <xf numFmtId="0" fontId="76" fillId="47" borderId="0" applyNumberFormat="0" applyBorder="0" applyAlignment="0" applyProtection="0"/>
    <xf numFmtId="0" fontId="77" fillId="48" borderId="0" applyNumberFormat="0" applyBorder="0" applyAlignment="0" applyProtection="0"/>
  </cellStyleXfs>
  <cellXfs count="1560">
    <xf numFmtId="0" fontId="0" fillId="0" borderId="0" xfId="0"/>
    <xf numFmtId="0" fontId="21" fillId="0" borderId="0" xfId="161" applyFont="1" applyAlignment="1" applyProtection="1">
      <alignment horizontal="center" wrapText="1"/>
      <protection hidden="1"/>
    </xf>
    <xf numFmtId="0" fontId="22" fillId="0" borderId="0" xfId="161" applyFont="1" applyAlignment="1" applyProtection="1">
      <alignment horizontal="center" vertical="center" wrapText="1"/>
      <protection hidden="1"/>
    </xf>
    <xf numFmtId="0" fontId="21" fillId="0" borderId="0" xfId="161" applyFont="1" applyAlignment="1" applyProtection="1">
      <alignment horizontal="right" vertical="center" shrinkToFit="1"/>
      <protection hidden="1"/>
    </xf>
    <xf numFmtId="0" fontId="21" fillId="0" borderId="0" xfId="161" applyFont="1" applyAlignment="1" applyProtection="1">
      <alignment horizontal="center" vertical="center" shrinkToFit="1"/>
      <protection hidden="1"/>
    </xf>
    <xf numFmtId="0" fontId="21" fillId="0" borderId="0" xfId="161" applyFont="1" applyAlignment="1" applyProtection="1">
      <alignment horizontal="right" vertical="center" wrapText="1"/>
      <protection hidden="1"/>
    </xf>
    <xf numFmtId="0" fontId="21" fillId="0" borderId="0" xfId="161" applyFont="1" applyAlignment="1" applyProtection="1">
      <alignment horizontal="center" vertical="center" wrapText="1"/>
      <protection hidden="1"/>
    </xf>
    <xf numFmtId="0" fontId="22" fillId="6" borderId="0" xfId="161" applyFont="1" applyFill="1" applyAlignment="1" applyProtection="1">
      <alignment horizontal="right"/>
      <protection hidden="1"/>
    </xf>
    <xf numFmtId="168" fontId="22" fillId="6" borderId="0" xfId="161" applyNumberFormat="1" applyFont="1" applyFill="1" applyAlignment="1" applyProtection="1">
      <alignment horizontal="right" vertical="center"/>
      <protection hidden="1"/>
    </xf>
    <xf numFmtId="169" fontId="22" fillId="6" borderId="0" xfId="161" applyNumberFormat="1" applyFont="1" applyFill="1" applyAlignment="1" applyProtection="1">
      <alignment horizontal="right" vertical="center" shrinkToFit="1"/>
      <protection hidden="1"/>
    </xf>
    <xf numFmtId="0" fontId="25" fillId="0" borderId="0" xfId="161" applyFont="1" applyAlignment="1" applyProtection="1">
      <alignment horizontal="center" vertical="center" wrapText="1"/>
      <protection hidden="1"/>
    </xf>
    <xf numFmtId="0" fontId="22" fillId="6" borderId="0" xfId="161" applyFont="1" applyFill="1" applyAlignment="1" applyProtection="1">
      <alignment horizontal="right" vertical="center"/>
      <protection hidden="1"/>
    </xf>
    <xf numFmtId="0" fontId="22" fillId="6" borderId="0" xfId="161" applyFont="1" applyFill="1" applyAlignment="1" applyProtection="1">
      <alignment horizontal="right" vertical="center" shrinkToFit="1"/>
      <protection hidden="1"/>
    </xf>
    <xf numFmtId="0" fontId="22" fillId="6" borderId="0" xfId="161" applyFont="1" applyFill="1" applyAlignment="1" applyProtection="1">
      <alignment horizontal="right" shrinkToFit="1"/>
      <protection hidden="1"/>
    </xf>
    <xf numFmtId="172" fontId="22" fillId="6" borderId="0" xfId="161" applyNumberFormat="1" applyFont="1" applyFill="1" applyAlignment="1" applyProtection="1">
      <alignment horizontal="right" shrinkToFit="1"/>
      <protection hidden="1"/>
    </xf>
    <xf numFmtId="169" fontId="27" fillId="6" borderId="0" xfId="161" applyNumberFormat="1" applyFont="1" applyFill="1" applyAlignment="1" applyProtection="1">
      <alignment horizontal="right" wrapText="1" shrinkToFit="1"/>
      <protection hidden="1"/>
    </xf>
    <xf numFmtId="0" fontId="27" fillId="6" borderId="0" xfId="161" applyFont="1" applyFill="1" applyAlignment="1" applyProtection="1">
      <alignment horizontal="right" wrapText="1" shrinkToFit="1"/>
      <protection hidden="1"/>
    </xf>
    <xf numFmtId="0" fontId="22" fillId="0" borderId="0" xfId="161" applyFont="1" applyAlignment="1" applyProtection="1">
      <alignment horizontal="right" vertical="center"/>
      <protection hidden="1"/>
    </xf>
    <xf numFmtId="168" fontId="22" fillId="6" borderId="0" xfId="161" applyNumberFormat="1" applyFont="1" applyFill="1" applyAlignment="1" applyProtection="1">
      <alignment horizontal="right"/>
      <protection hidden="1"/>
    </xf>
    <xf numFmtId="169" fontId="21" fillId="0" borderId="0" xfId="161" applyNumberFormat="1" applyFont="1" applyAlignment="1" applyProtection="1">
      <alignment horizontal="right" vertical="center" wrapText="1"/>
      <protection hidden="1"/>
    </xf>
    <xf numFmtId="0" fontId="21" fillId="0" borderId="0" xfId="161" applyFont="1" applyAlignment="1" applyProtection="1">
      <alignment horizontal="right" vertical="center"/>
      <protection hidden="1"/>
    </xf>
    <xf numFmtId="165" fontId="21" fillId="0" borderId="0" xfId="161" applyNumberFormat="1" applyFont="1" applyAlignment="1" applyProtection="1">
      <alignment horizontal="right" vertical="center" shrinkToFit="1"/>
      <protection hidden="1"/>
    </xf>
    <xf numFmtId="0" fontId="26" fillId="0" borderId="0" xfId="161" applyFont="1" applyAlignment="1" applyProtection="1">
      <alignment horizontal="center" vertical="center" wrapText="1"/>
      <protection hidden="1"/>
    </xf>
    <xf numFmtId="0" fontId="28" fillId="0" borderId="0" xfId="161" applyFont="1" applyAlignment="1" applyProtection="1">
      <alignment horizontal="left" vertical="center"/>
      <protection hidden="1"/>
    </xf>
    <xf numFmtId="0" fontId="22" fillId="0" borderId="0" xfId="161" applyFont="1" applyAlignment="1" applyProtection="1">
      <alignment horizontal="right" vertical="center" wrapText="1"/>
      <protection hidden="1"/>
    </xf>
    <xf numFmtId="0" fontId="21" fillId="0" borderId="0" xfId="161" applyFont="1" applyAlignment="1" applyProtection="1">
      <alignment horizontal="left" vertical="center"/>
      <protection hidden="1"/>
    </xf>
    <xf numFmtId="0" fontId="26" fillId="0" borderId="0" xfId="161" applyFont="1" applyAlignment="1" applyProtection="1">
      <alignment horizontal="right" vertical="center" wrapText="1"/>
      <protection hidden="1"/>
    </xf>
    <xf numFmtId="0" fontId="27" fillId="0" borderId="0" xfId="161" applyFont="1" applyAlignment="1" applyProtection="1">
      <alignment horizontal="right" vertical="center" wrapText="1"/>
      <protection hidden="1"/>
    </xf>
    <xf numFmtId="0" fontId="23" fillId="0" borderId="0" xfId="161" applyFont="1" applyAlignment="1" applyProtection="1">
      <alignment horizontal="center" vertical="center" wrapText="1"/>
      <protection hidden="1"/>
    </xf>
    <xf numFmtId="175" fontId="21" fillId="7" borderId="0" xfId="161" applyNumberFormat="1" applyFont="1" applyFill="1" applyAlignment="1" applyProtection="1">
      <alignment horizontal="right" vertical="center" wrapText="1"/>
      <protection hidden="1"/>
    </xf>
    <xf numFmtId="0" fontId="30" fillId="0" borderId="0" xfId="161" applyFont="1" applyAlignment="1" applyProtection="1">
      <alignment horizontal="left" vertical="center"/>
      <protection hidden="1"/>
    </xf>
    <xf numFmtId="0" fontId="28" fillId="0" borderId="0" xfId="161" applyFont="1" applyAlignment="1" applyProtection="1">
      <alignment horizontal="right" vertical="center"/>
      <protection hidden="1"/>
    </xf>
    <xf numFmtId="0" fontId="23" fillId="0" borderId="0" xfId="161" applyFont="1" applyAlignment="1" applyProtection="1">
      <alignment horizontal="center" vertical="center"/>
      <protection hidden="1"/>
    </xf>
    <xf numFmtId="0" fontId="32" fillId="0" borderId="0" xfId="161" applyFont="1" applyAlignment="1" applyProtection="1">
      <alignment horizontal="center" vertical="center" wrapText="1"/>
      <protection hidden="1"/>
    </xf>
    <xf numFmtId="0" fontId="40" fillId="0" borderId="1" xfId="161" applyFont="1" applyBorder="1" applyAlignment="1" applyProtection="1">
      <alignment horizontal="right" vertical="center"/>
      <protection hidden="1"/>
    </xf>
    <xf numFmtId="173" fontId="21" fillId="0" borderId="0" xfId="161" applyNumberFormat="1" applyFont="1" applyAlignment="1" applyProtection="1">
      <alignment horizontal="center" vertical="center" wrapText="1"/>
      <protection hidden="1"/>
    </xf>
    <xf numFmtId="0" fontId="28" fillId="0" borderId="0" xfId="161" applyFont="1" applyAlignment="1" applyProtection="1">
      <alignment horizontal="left"/>
      <protection hidden="1"/>
    </xf>
    <xf numFmtId="177" fontId="21" fillId="0" borderId="0" xfId="161" applyNumberFormat="1" applyFont="1" applyAlignment="1" applyProtection="1">
      <alignment horizontal="right" vertical="center" wrapText="1"/>
      <protection hidden="1"/>
    </xf>
    <xf numFmtId="177" fontId="21" fillId="0" borderId="0" xfId="161" applyNumberFormat="1" applyFont="1" applyAlignment="1" applyProtection="1">
      <alignment horizontal="center" vertical="center" shrinkToFit="1"/>
      <protection hidden="1"/>
    </xf>
    <xf numFmtId="0" fontId="23" fillId="0" borderId="0" xfId="161" applyFont="1" applyAlignment="1" applyProtection="1">
      <alignment horizontal="left" vertical="center"/>
      <protection hidden="1"/>
    </xf>
    <xf numFmtId="170" fontId="25" fillId="20" borderId="0" xfId="161" applyNumberFormat="1" applyFont="1" applyFill="1" applyAlignment="1" applyProtection="1">
      <alignment horizontal="right" vertical="center"/>
      <protection hidden="1"/>
    </xf>
    <xf numFmtId="169" fontId="26" fillId="0" borderId="0" xfId="161" applyNumberFormat="1" applyFont="1" applyAlignment="1" applyProtection="1">
      <alignment horizontal="right" vertical="center" wrapText="1"/>
      <protection hidden="1"/>
    </xf>
    <xf numFmtId="0" fontId="26" fillId="0" borderId="0" xfId="161" applyFont="1" applyAlignment="1" applyProtection="1">
      <alignment horizontal="center" vertical="center" shrinkToFit="1"/>
      <protection hidden="1"/>
    </xf>
    <xf numFmtId="170" fontId="27" fillId="0" borderId="0" xfId="161" applyNumberFormat="1" applyFont="1" applyAlignment="1" applyProtection="1">
      <alignment horizontal="right" vertical="center" wrapText="1"/>
      <protection hidden="1"/>
    </xf>
    <xf numFmtId="167" fontId="22" fillId="6" borderId="0" xfId="161" applyNumberFormat="1" applyFont="1" applyFill="1" applyAlignment="1" applyProtection="1">
      <alignment horizontal="right" vertical="center" shrinkToFit="1"/>
      <protection hidden="1"/>
    </xf>
    <xf numFmtId="0" fontId="15" fillId="0" borderId="0" xfId="0" applyFont="1"/>
    <xf numFmtId="177" fontId="26" fillId="0" borderId="0" xfId="161" applyNumberFormat="1" applyFont="1" applyAlignment="1" applyProtection="1">
      <alignment horizontal="right" vertical="center" wrapText="1"/>
      <protection hidden="1"/>
    </xf>
    <xf numFmtId="0" fontId="43" fillId="0" borderId="0" xfId="161" applyFont="1" applyAlignment="1" applyProtection="1">
      <alignment horizontal="left" vertical="center"/>
      <protection hidden="1"/>
    </xf>
    <xf numFmtId="0" fontId="22" fillId="0" borderId="0" xfId="161" applyFont="1" applyAlignment="1" applyProtection="1">
      <alignment horizontal="center" wrapText="1"/>
      <protection hidden="1"/>
    </xf>
    <xf numFmtId="169" fontId="21" fillId="7" borderId="0" xfId="161" applyNumberFormat="1" applyFont="1" applyFill="1" applyAlignment="1" applyProtection="1">
      <alignment horizontal="right" vertical="center" wrapText="1"/>
      <protection hidden="1"/>
    </xf>
    <xf numFmtId="174" fontId="21" fillId="3" borderId="0" xfId="161" applyNumberFormat="1" applyFont="1" applyFill="1" applyAlignment="1" applyProtection="1">
      <alignment horizontal="right" vertical="center" wrapText="1"/>
      <protection hidden="1"/>
    </xf>
    <xf numFmtId="174" fontId="21" fillId="12" borderId="0" xfId="161" applyNumberFormat="1" applyFont="1" applyFill="1" applyAlignment="1" applyProtection="1">
      <alignment horizontal="right" vertical="center" wrapText="1"/>
      <protection hidden="1"/>
    </xf>
    <xf numFmtId="174" fontId="21" fillId="14" borderId="0" xfId="161" applyNumberFormat="1" applyFont="1" applyFill="1" applyAlignment="1" applyProtection="1">
      <alignment horizontal="right" vertical="center" wrapText="1"/>
      <protection hidden="1"/>
    </xf>
    <xf numFmtId="0" fontId="25" fillId="0" borderId="0" xfId="161" applyFont="1" applyAlignment="1" applyProtection="1">
      <alignment horizontal="left" vertical="center"/>
      <protection hidden="1"/>
    </xf>
    <xf numFmtId="170" fontId="22" fillId="6" borderId="0" xfId="161" applyNumberFormat="1" applyFont="1" applyFill="1" applyAlignment="1" applyProtection="1">
      <alignment horizontal="center" wrapText="1" shrinkToFit="1"/>
      <protection hidden="1"/>
    </xf>
    <xf numFmtId="0" fontId="24" fillId="0" borderId="0" xfId="161" applyFont="1" applyAlignment="1" applyProtection="1">
      <alignment horizontal="center" vertical="center" wrapText="1"/>
      <protection hidden="1"/>
    </xf>
    <xf numFmtId="9" fontId="27" fillId="6" borderId="0" xfId="163" applyFont="1" applyFill="1" applyBorder="1" applyAlignment="1" applyProtection="1">
      <alignment horizontal="center" vertical="center" shrinkToFit="1"/>
      <protection hidden="1"/>
    </xf>
    <xf numFmtId="0" fontId="26" fillId="0" borderId="0" xfId="161" applyFont="1" applyAlignment="1" applyProtection="1">
      <alignment horizontal="left" vertical="center"/>
      <protection hidden="1"/>
    </xf>
    <xf numFmtId="169" fontId="22" fillId="6" borderId="0" xfId="161" applyNumberFormat="1" applyFont="1" applyFill="1" applyAlignment="1" applyProtection="1">
      <alignment horizontal="right" wrapText="1" shrinkToFit="1"/>
      <protection hidden="1"/>
    </xf>
    <xf numFmtId="0" fontId="22" fillId="6" borderId="0" xfId="161" applyFont="1" applyFill="1" applyAlignment="1" applyProtection="1">
      <alignment horizontal="right" wrapText="1" shrinkToFit="1"/>
      <protection hidden="1"/>
    </xf>
    <xf numFmtId="169" fontId="21" fillId="18" borderId="0" xfId="161" applyNumberFormat="1" applyFont="1" applyFill="1" applyAlignment="1" applyProtection="1">
      <alignment horizontal="right" vertical="center" wrapText="1"/>
      <protection hidden="1"/>
    </xf>
    <xf numFmtId="169" fontId="21" fillId="16" borderId="0" xfId="161" applyNumberFormat="1" applyFont="1" applyFill="1" applyAlignment="1" applyProtection="1">
      <alignment horizontal="right" vertical="center" wrapText="1"/>
      <protection hidden="1"/>
    </xf>
    <xf numFmtId="180" fontId="21" fillId="0" borderId="0" xfId="161" applyNumberFormat="1" applyFont="1" applyAlignment="1" applyProtection="1">
      <alignment horizontal="right" vertical="center" wrapText="1"/>
      <protection hidden="1"/>
    </xf>
    <xf numFmtId="180" fontId="26" fillId="0" borderId="0" xfId="161" applyNumberFormat="1" applyFont="1" applyAlignment="1" applyProtection="1">
      <alignment horizontal="right" vertical="center" wrapText="1"/>
      <protection hidden="1"/>
    </xf>
    <xf numFmtId="0" fontId="47" fillId="0" borderId="0" xfId="161" applyFont="1" applyAlignment="1" applyProtection="1">
      <alignment horizontal="left" vertical="center"/>
      <protection hidden="1"/>
    </xf>
    <xf numFmtId="0" fontId="25" fillId="0" borderId="0" xfId="161" applyFont="1" applyAlignment="1" applyProtection="1">
      <alignment horizontal="right" vertical="center" wrapText="1"/>
      <protection hidden="1"/>
    </xf>
    <xf numFmtId="0" fontId="49" fillId="0" borderId="0" xfId="161" applyFont="1" applyAlignment="1" applyProtection="1">
      <alignment horizontal="left"/>
      <protection hidden="1"/>
    </xf>
    <xf numFmtId="183" fontId="26" fillId="0" borderId="0" xfId="161" applyNumberFormat="1" applyFont="1" applyAlignment="1" applyProtection="1">
      <alignment horizontal="right" vertical="center" wrapText="1"/>
      <protection hidden="1"/>
    </xf>
    <xf numFmtId="174" fontId="26" fillId="3" borderId="0" xfId="161" applyNumberFormat="1" applyFont="1" applyFill="1" applyAlignment="1" applyProtection="1">
      <alignment horizontal="right" vertical="center" wrapText="1"/>
      <protection hidden="1"/>
    </xf>
    <xf numFmtId="174" fontId="26" fillId="12" borderId="0" xfId="161" applyNumberFormat="1" applyFont="1" applyFill="1" applyAlignment="1" applyProtection="1">
      <alignment horizontal="right" vertical="center" wrapText="1"/>
      <protection hidden="1"/>
    </xf>
    <xf numFmtId="174" fontId="26" fillId="14" borderId="0" xfId="161" applyNumberFormat="1" applyFont="1" applyFill="1" applyAlignment="1" applyProtection="1">
      <alignment horizontal="right" vertical="center" wrapText="1"/>
      <protection hidden="1"/>
    </xf>
    <xf numFmtId="0" fontId="44" fillId="0" borderId="0" xfId="161" applyFont="1" applyAlignment="1" applyProtection="1">
      <alignment horizontal="center" vertical="center"/>
      <protection hidden="1"/>
    </xf>
    <xf numFmtId="0" fontId="36" fillId="0" borderId="0" xfId="161" applyFont="1" applyAlignment="1" applyProtection="1">
      <alignment horizontal="right" vertical="center"/>
      <protection hidden="1"/>
    </xf>
    <xf numFmtId="0" fontId="21" fillId="0" borderId="0" xfId="161" applyFont="1" applyAlignment="1" applyProtection="1">
      <alignment horizontal="left" vertical="center" wrapText="1"/>
      <protection hidden="1"/>
    </xf>
    <xf numFmtId="0" fontId="23" fillId="0" borderId="0" xfId="161" applyFont="1" applyAlignment="1" applyProtection="1">
      <alignment horizontal="right" vertical="center" wrapText="1"/>
      <protection hidden="1"/>
    </xf>
    <xf numFmtId="0" fontId="25" fillId="0" borderId="0" xfId="161" applyFont="1" applyAlignment="1" applyProtection="1">
      <alignment horizontal="right" vertical="center" shrinkToFit="1"/>
      <protection hidden="1"/>
    </xf>
    <xf numFmtId="170" fontId="26" fillId="15" borderId="0" xfId="161" applyNumberFormat="1" applyFont="1" applyFill="1" applyAlignment="1" applyProtection="1">
      <alignment horizontal="right" vertical="center"/>
      <protection hidden="1"/>
    </xf>
    <xf numFmtId="0" fontId="27" fillId="0" borderId="0" xfId="161" applyFont="1" applyAlignment="1" applyProtection="1">
      <alignment horizontal="center" vertical="center" wrapText="1"/>
      <protection hidden="1"/>
    </xf>
    <xf numFmtId="0" fontId="32" fillId="7" borderId="0" xfId="161" applyFont="1" applyFill="1" applyAlignment="1" applyProtection="1">
      <alignment horizontal="right" vertical="center"/>
      <protection hidden="1"/>
    </xf>
    <xf numFmtId="170" fontId="21" fillId="9" borderId="0" xfId="161" applyNumberFormat="1" applyFont="1" applyFill="1" applyAlignment="1" applyProtection="1">
      <alignment horizontal="right" vertical="center"/>
      <protection hidden="1"/>
    </xf>
    <xf numFmtId="170" fontId="21" fillId="8" borderId="0" xfId="161" applyNumberFormat="1" applyFont="1" applyFill="1" applyAlignment="1" applyProtection="1">
      <alignment horizontal="right" vertical="center"/>
      <protection hidden="1"/>
    </xf>
    <xf numFmtId="170" fontId="21" fillId="4" borderId="0" xfId="161" applyNumberFormat="1" applyFont="1" applyFill="1" applyAlignment="1" applyProtection="1">
      <alignment horizontal="right" vertical="center"/>
      <protection hidden="1"/>
    </xf>
    <xf numFmtId="170" fontId="21" fillId="3" borderId="0" xfId="161" applyNumberFormat="1" applyFont="1" applyFill="1" applyAlignment="1" applyProtection="1">
      <alignment horizontal="right" vertical="center"/>
      <protection hidden="1"/>
    </xf>
    <xf numFmtId="170" fontId="21" fillId="10" borderId="0" xfId="161" applyNumberFormat="1" applyFont="1" applyFill="1" applyAlignment="1" applyProtection="1">
      <alignment horizontal="right" vertical="center"/>
      <protection hidden="1"/>
    </xf>
    <xf numFmtId="170" fontId="21" fillId="11" borderId="0" xfId="161" applyNumberFormat="1" applyFont="1" applyFill="1" applyAlignment="1" applyProtection="1">
      <alignment horizontal="right" vertical="center"/>
      <protection hidden="1"/>
    </xf>
    <xf numFmtId="170" fontId="21" fillId="12" borderId="0" xfId="161" applyNumberFormat="1" applyFont="1" applyFill="1" applyAlignment="1" applyProtection="1">
      <alignment horizontal="right" vertical="center"/>
      <protection hidden="1"/>
    </xf>
    <xf numFmtId="170" fontId="21" fillId="5" borderId="0" xfId="161" applyNumberFormat="1" applyFont="1" applyFill="1" applyAlignment="1" applyProtection="1">
      <alignment horizontal="right" vertical="center"/>
      <protection hidden="1"/>
    </xf>
    <xf numFmtId="170" fontId="21" fillId="14" borderId="0" xfId="161" applyNumberFormat="1" applyFont="1" applyFill="1" applyAlignment="1" applyProtection="1">
      <alignment horizontal="right" vertical="center"/>
      <protection hidden="1"/>
    </xf>
    <xf numFmtId="0" fontId="30" fillId="0" borderId="0" xfId="161" applyFont="1" applyAlignment="1" applyProtection="1">
      <alignment horizontal="center" vertical="center" wrapText="1"/>
      <protection hidden="1"/>
    </xf>
    <xf numFmtId="0" fontId="41" fillId="0" borderId="0" xfId="0" applyFont="1"/>
    <xf numFmtId="169" fontId="21" fillId="7" borderId="0" xfId="161" applyNumberFormat="1" applyFont="1" applyFill="1" applyAlignment="1" applyProtection="1">
      <alignment horizontal="right" vertical="center"/>
      <protection hidden="1"/>
    </xf>
    <xf numFmtId="174" fontId="21" fillId="3" borderId="0" xfId="161" applyNumberFormat="1" applyFont="1" applyFill="1" applyAlignment="1" applyProtection="1">
      <alignment horizontal="right" vertical="center"/>
      <protection hidden="1"/>
    </xf>
    <xf numFmtId="174" fontId="21" fillId="12" borderId="0" xfId="161" applyNumberFormat="1" applyFont="1" applyFill="1" applyAlignment="1" applyProtection="1">
      <alignment horizontal="right" vertical="center"/>
      <protection hidden="1"/>
    </xf>
    <xf numFmtId="174" fontId="21" fillId="14" borderId="0" xfId="161" applyNumberFormat="1" applyFont="1" applyFill="1" applyAlignment="1" applyProtection="1">
      <alignment horizontal="right" vertical="center"/>
      <protection hidden="1"/>
    </xf>
    <xf numFmtId="174" fontId="26" fillId="3" borderId="0" xfId="161" applyNumberFormat="1" applyFont="1" applyFill="1" applyAlignment="1" applyProtection="1">
      <alignment horizontal="right" vertical="center"/>
      <protection hidden="1"/>
    </xf>
    <xf numFmtId="174" fontId="26" fillId="12" borderId="0" xfId="161" applyNumberFormat="1" applyFont="1" applyFill="1" applyAlignment="1" applyProtection="1">
      <alignment horizontal="right" vertical="center"/>
      <protection hidden="1"/>
    </xf>
    <xf numFmtId="174" fontId="26" fillId="14" borderId="0" xfId="161" applyNumberFormat="1" applyFont="1" applyFill="1" applyAlignment="1" applyProtection="1">
      <alignment horizontal="right" vertical="center"/>
      <protection hidden="1"/>
    </xf>
    <xf numFmtId="169" fontId="21" fillId="18" borderId="0" xfId="161" applyNumberFormat="1" applyFont="1" applyFill="1" applyAlignment="1" applyProtection="1">
      <alignment horizontal="right" vertical="center"/>
      <protection hidden="1"/>
    </xf>
    <xf numFmtId="169" fontId="21" fillId="16" borderId="0" xfId="161" applyNumberFormat="1" applyFont="1" applyFill="1" applyAlignment="1" applyProtection="1">
      <alignment horizontal="right" vertical="center"/>
      <protection hidden="1"/>
    </xf>
    <xf numFmtId="0" fontId="24" fillId="0" borderId="0" xfId="161" applyFont="1" applyAlignment="1" applyProtection="1">
      <alignment horizontal="center" vertical="center" shrinkToFit="1"/>
      <protection hidden="1"/>
    </xf>
    <xf numFmtId="167" fontId="33" fillId="6" borderId="0" xfId="161" applyNumberFormat="1" applyFont="1" applyFill="1" applyAlignment="1" applyProtection="1">
      <alignment horizontal="center" vertical="center" shrinkToFit="1"/>
      <protection hidden="1"/>
    </xf>
    <xf numFmtId="9" fontId="33" fillId="6" borderId="0" xfId="163" applyFont="1" applyFill="1" applyBorder="1" applyAlignment="1" applyProtection="1">
      <alignment horizontal="center" vertical="center" shrinkToFit="1"/>
      <protection hidden="1"/>
    </xf>
    <xf numFmtId="176" fontId="25" fillId="3" borderId="0" xfId="161" applyNumberFormat="1" applyFont="1" applyFill="1" applyAlignment="1" applyProtection="1">
      <alignment horizontal="right" vertical="center"/>
      <protection hidden="1"/>
    </xf>
    <xf numFmtId="170" fontId="25" fillId="12" borderId="0" xfId="161" applyNumberFormat="1" applyFont="1" applyFill="1" applyAlignment="1" applyProtection="1">
      <alignment horizontal="right" vertical="center"/>
      <protection hidden="1"/>
    </xf>
    <xf numFmtId="168" fontId="25" fillId="7" borderId="0" xfId="161" applyNumberFormat="1" applyFont="1" applyFill="1" applyAlignment="1" applyProtection="1">
      <alignment horizontal="right" vertical="center"/>
      <protection hidden="1"/>
    </xf>
    <xf numFmtId="0" fontId="19" fillId="0" borderId="0" xfId="166" applyFont="1" applyAlignment="1" applyProtection="1">
      <alignment horizontal="left" vertical="center"/>
      <protection hidden="1"/>
    </xf>
    <xf numFmtId="0" fontId="52" fillId="0" borderId="0" xfId="166" applyFont="1" applyAlignment="1" applyProtection="1">
      <alignment horizontal="right" vertical="center" wrapText="1"/>
      <protection hidden="1"/>
    </xf>
    <xf numFmtId="0" fontId="52" fillId="0" borderId="0" xfId="166" applyFont="1" applyAlignment="1" applyProtection="1">
      <alignment horizontal="center" vertical="center" wrapText="1"/>
      <protection hidden="1"/>
    </xf>
    <xf numFmtId="0" fontId="53" fillId="0" borderId="0" xfId="166" applyFont="1" applyAlignment="1">
      <alignment horizontal="right" vertical="center" wrapText="1"/>
    </xf>
    <xf numFmtId="0" fontId="53" fillId="0" borderId="0" xfId="166" applyFont="1" applyAlignment="1">
      <alignment horizontal="center" vertical="center" wrapText="1"/>
    </xf>
    <xf numFmtId="0" fontId="52" fillId="0" borderId="0" xfId="166" applyFont="1" applyAlignment="1">
      <alignment horizontal="right" vertical="center" wrapText="1"/>
    </xf>
    <xf numFmtId="174" fontId="21" fillId="25" borderId="0" xfId="161" applyNumberFormat="1" applyFont="1" applyFill="1" applyAlignment="1" applyProtection="1">
      <alignment horizontal="right" vertical="center"/>
      <protection hidden="1"/>
    </xf>
    <xf numFmtId="0" fontId="25" fillId="7" borderId="0" xfId="161" applyFont="1" applyFill="1" applyAlignment="1" applyProtection="1">
      <alignment horizontal="right" vertical="center"/>
      <protection hidden="1"/>
    </xf>
    <xf numFmtId="174" fontId="21" fillId="20" borderId="0" xfId="161" applyNumberFormat="1" applyFont="1" applyFill="1" applyAlignment="1" applyProtection="1">
      <alignment horizontal="right" vertical="center"/>
      <protection hidden="1"/>
    </xf>
    <xf numFmtId="170" fontId="26" fillId="26" borderId="0" xfId="161" applyNumberFormat="1" applyFont="1" applyFill="1" applyAlignment="1" applyProtection="1">
      <alignment horizontal="right" vertical="center"/>
      <protection hidden="1"/>
    </xf>
    <xf numFmtId="174" fontId="21" fillId="26" borderId="0" xfId="161" applyNumberFormat="1" applyFont="1" applyFill="1" applyAlignment="1" applyProtection="1">
      <alignment horizontal="right" vertical="center"/>
      <protection hidden="1"/>
    </xf>
    <xf numFmtId="167" fontId="26" fillId="0" borderId="0" xfId="161" applyNumberFormat="1" applyFont="1" applyAlignment="1" applyProtection="1">
      <alignment horizontal="right" vertical="center" wrapText="1"/>
      <protection hidden="1"/>
    </xf>
    <xf numFmtId="176" fontId="31" fillId="7" borderId="0" xfId="161" applyNumberFormat="1" applyFont="1" applyFill="1" applyAlignment="1" applyProtection="1">
      <alignment horizontal="right" vertical="center"/>
      <protection hidden="1"/>
    </xf>
    <xf numFmtId="0" fontId="28" fillId="0" borderId="0" xfId="166" applyFont="1" applyAlignment="1" applyProtection="1">
      <alignment horizontal="left"/>
      <protection hidden="1"/>
    </xf>
    <xf numFmtId="0" fontId="52" fillId="0" borderId="0" xfId="166" applyFont="1" applyAlignment="1" applyProtection="1">
      <alignment horizontal="right" wrapText="1"/>
      <protection hidden="1"/>
    </xf>
    <xf numFmtId="0" fontId="52" fillId="0" borderId="0" xfId="166" applyFont="1" applyAlignment="1" applyProtection="1">
      <alignment horizontal="center" wrapText="1"/>
      <protection hidden="1"/>
    </xf>
    <xf numFmtId="0" fontId="21" fillId="0" borderId="0" xfId="166" applyFont="1" applyAlignment="1" applyProtection="1">
      <alignment horizontal="right" wrapText="1"/>
      <protection hidden="1"/>
    </xf>
    <xf numFmtId="0" fontId="23" fillId="0" borderId="0" xfId="166" applyFont="1" applyAlignment="1" applyProtection="1">
      <alignment horizontal="left"/>
      <protection hidden="1"/>
    </xf>
    <xf numFmtId="0" fontId="22" fillId="6" borderId="0" xfId="166" applyFont="1" applyFill="1" applyAlignment="1" applyProtection="1">
      <alignment horizontal="right" wrapText="1"/>
      <protection hidden="1"/>
    </xf>
    <xf numFmtId="0" fontId="21" fillId="0" borderId="0" xfId="166" applyFont="1" applyAlignment="1" applyProtection="1">
      <alignment horizontal="center" wrapText="1"/>
      <protection hidden="1"/>
    </xf>
    <xf numFmtId="0" fontId="22" fillId="0" borderId="0" xfId="166" applyFont="1" applyAlignment="1" applyProtection="1">
      <alignment horizontal="right" wrapText="1"/>
      <protection hidden="1"/>
    </xf>
    <xf numFmtId="0" fontId="22" fillId="0" borderId="0" xfId="166" applyFont="1" applyAlignment="1" applyProtection="1">
      <alignment horizontal="center" wrapText="1"/>
      <protection hidden="1"/>
    </xf>
    <xf numFmtId="165" fontId="32" fillId="6" borderId="0" xfId="163" applyNumberFormat="1" applyFont="1" applyFill="1" applyBorder="1" applyAlignment="1" applyProtection="1">
      <alignment horizontal="right" vertical="center" shrinkToFit="1"/>
      <protection hidden="1"/>
    </xf>
    <xf numFmtId="165" fontId="32" fillId="7" borderId="0" xfId="163" applyNumberFormat="1" applyFont="1" applyFill="1" applyBorder="1" applyAlignment="1" applyProtection="1">
      <alignment horizontal="right" vertical="center" shrinkToFit="1"/>
      <protection hidden="1"/>
    </xf>
    <xf numFmtId="182" fontId="22" fillId="6" borderId="0" xfId="166" applyNumberFormat="1" applyFont="1" applyFill="1" applyAlignment="1" applyProtection="1">
      <alignment horizontal="right" wrapText="1"/>
      <protection hidden="1"/>
    </xf>
    <xf numFmtId="182" fontId="21" fillId="7" borderId="0" xfId="166" applyNumberFormat="1" applyFont="1" applyFill="1" applyAlignment="1" applyProtection="1">
      <alignment horizontal="right" wrapText="1"/>
      <protection hidden="1"/>
    </xf>
    <xf numFmtId="0" fontId="44" fillId="0" borderId="0" xfId="161" applyFont="1" applyAlignment="1" applyProtection="1">
      <alignment horizontal="right" vertical="center"/>
      <protection hidden="1"/>
    </xf>
    <xf numFmtId="10" fontId="44" fillId="0" borderId="0" xfId="163" applyNumberFormat="1" applyFont="1" applyBorder="1" applyAlignment="1" applyProtection="1">
      <alignment horizontal="center" vertical="center" wrapText="1"/>
      <protection hidden="1"/>
    </xf>
    <xf numFmtId="0" fontId="22" fillId="6" borderId="0" xfId="161" applyFont="1" applyFill="1" applyAlignment="1" applyProtection="1">
      <alignment horizontal="right" wrapText="1"/>
      <protection hidden="1"/>
    </xf>
    <xf numFmtId="0" fontId="54" fillId="0" borderId="0" xfId="0" applyFont="1"/>
    <xf numFmtId="167" fontId="21" fillId="2" borderId="0" xfId="161" applyNumberFormat="1" applyFont="1" applyFill="1" applyAlignment="1" applyProtection="1">
      <alignment horizontal="right" vertical="center"/>
      <protection hidden="1"/>
    </xf>
    <xf numFmtId="169" fontId="23" fillId="7" borderId="0" xfId="161" applyNumberFormat="1" applyFont="1" applyFill="1" applyAlignment="1" applyProtection="1">
      <alignment horizontal="right" vertical="center"/>
      <protection hidden="1"/>
    </xf>
    <xf numFmtId="179" fontId="21" fillId="2" borderId="0" xfId="161" applyNumberFormat="1" applyFont="1" applyFill="1" applyAlignment="1" applyProtection="1">
      <alignment horizontal="right" vertical="center"/>
      <protection hidden="1"/>
    </xf>
    <xf numFmtId="181" fontId="26" fillId="0" borderId="0" xfId="161" applyNumberFormat="1" applyFont="1" applyAlignment="1" applyProtection="1">
      <alignment horizontal="right" vertical="center" wrapText="1"/>
      <protection hidden="1"/>
    </xf>
    <xf numFmtId="0" fontId="21" fillId="0" borderId="0" xfId="161" applyFont="1" applyAlignment="1" applyProtection="1">
      <alignment horizontal="center" vertical="top" wrapText="1"/>
      <protection hidden="1"/>
    </xf>
    <xf numFmtId="0" fontId="55" fillId="0" borderId="0" xfId="161" applyFont="1" applyAlignment="1" applyProtection="1">
      <alignment horizontal="left" vertical="center"/>
      <protection hidden="1"/>
    </xf>
    <xf numFmtId="0" fontId="30" fillId="19" borderId="0" xfId="161" applyFont="1" applyFill="1" applyAlignment="1" applyProtection="1">
      <alignment horizontal="left" vertical="center"/>
      <protection hidden="1"/>
    </xf>
    <xf numFmtId="0" fontId="21" fillId="0" borderId="0" xfId="166" applyFont="1" applyAlignment="1" applyProtection="1">
      <alignment horizontal="right" vertical="center" wrapText="1"/>
      <protection hidden="1"/>
    </xf>
    <xf numFmtId="0" fontId="26" fillId="0" borderId="0" xfId="166" applyFont="1" applyAlignment="1" applyProtection="1">
      <alignment horizontal="center" vertical="center" wrapText="1"/>
      <protection hidden="1"/>
    </xf>
    <xf numFmtId="0" fontId="21" fillId="0" borderId="0" xfId="166" applyFont="1" applyAlignment="1" applyProtection="1">
      <alignment horizontal="center" vertical="center" wrapText="1"/>
      <protection hidden="1"/>
    </xf>
    <xf numFmtId="0" fontId="23" fillId="0" borderId="0" xfId="166" applyFont="1" applyAlignment="1" applyProtection="1">
      <alignment horizontal="center" vertical="center" wrapText="1"/>
      <protection hidden="1"/>
    </xf>
    <xf numFmtId="0" fontId="30" fillId="0" borderId="0" xfId="166" applyFont="1" applyAlignment="1" applyProtection="1">
      <alignment horizontal="center" vertical="center" wrapText="1"/>
      <protection hidden="1"/>
    </xf>
    <xf numFmtId="166" fontId="21" fillId="0" borderId="0" xfId="166" applyNumberFormat="1" applyFont="1" applyAlignment="1" applyProtection="1">
      <alignment horizontal="right" vertical="center" wrapText="1"/>
      <protection hidden="1"/>
    </xf>
    <xf numFmtId="166" fontId="22" fillId="0" borderId="0" xfId="166" applyNumberFormat="1" applyFont="1" applyAlignment="1" applyProtection="1">
      <alignment horizontal="right" vertical="center" wrapText="1"/>
      <protection hidden="1"/>
    </xf>
    <xf numFmtId="185" fontId="26" fillId="0" borderId="0" xfId="166" applyNumberFormat="1" applyFont="1" applyAlignment="1" applyProtection="1">
      <alignment horizontal="right" vertical="center" wrapText="1"/>
      <protection hidden="1"/>
    </xf>
    <xf numFmtId="0" fontId="45" fillId="0" borderId="0" xfId="166" applyFont="1" applyAlignment="1" applyProtection="1">
      <alignment horizontal="center" vertical="center" wrapText="1"/>
      <protection hidden="1"/>
    </xf>
    <xf numFmtId="0" fontId="22" fillId="7" borderId="0" xfId="166" applyFont="1" applyFill="1" applyAlignment="1" applyProtection="1">
      <alignment horizontal="right" wrapText="1"/>
      <protection hidden="1"/>
    </xf>
    <xf numFmtId="0" fontId="31" fillId="7" borderId="14" xfId="161" applyFont="1" applyFill="1" applyBorder="1" applyAlignment="1" applyProtection="1">
      <alignment horizontal="center" vertical="center" wrapText="1"/>
      <protection hidden="1"/>
    </xf>
    <xf numFmtId="170" fontId="26" fillId="17" borderId="14" xfId="161" applyNumberFormat="1" applyFont="1" applyFill="1" applyBorder="1" applyAlignment="1" applyProtection="1">
      <alignment horizontal="center" vertical="center" wrapText="1"/>
      <protection hidden="1"/>
    </xf>
    <xf numFmtId="170" fontId="31" fillId="18" borderId="14" xfId="161" applyNumberFormat="1" applyFont="1" applyFill="1" applyBorder="1" applyAlignment="1" applyProtection="1">
      <alignment horizontal="center" vertical="center" wrapText="1"/>
      <protection hidden="1"/>
    </xf>
    <xf numFmtId="170" fontId="31" fillId="17" borderId="14" xfId="161" applyNumberFormat="1" applyFont="1" applyFill="1" applyBorder="1" applyAlignment="1" applyProtection="1">
      <alignment horizontal="center" vertical="center" wrapText="1"/>
      <protection hidden="1"/>
    </xf>
    <xf numFmtId="170" fontId="27" fillId="6" borderId="14" xfId="161" applyNumberFormat="1" applyFont="1" applyFill="1" applyBorder="1" applyAlignment="1" applyProtection="1">
      <alignment horizontal="center" vertical="center" wrapText="1" shrinkToFit="1"/>
      <protection hidden="1"/>
    </xf>
    <xf numFmtId="170" fontId="31" fillId="18" borderId="15" xfId="161" applyNumberFormat="1" applyFont="1" applyFill="1" applyBorder="1" applyAlignment="1" applyProtection="1">
      <alignment horizontal="center" vertical="center" wrapText="1"/>
      <protection hidden="1"/>
    </xf>
    <xf numFmtId="165" fontId="31" fillId="7" borderId="0" xfId="157" applyNumberFormat="1" applyFont="1" applyFill="1" applyBorder="1" applyAlignment="1" applyProtection="1">
      <alignment horizontal="center" vertical="center" wrapText="1"/>
      <protection hidden="1"/>
    </xf>
    <xf numFmtId="165" fontId="31" fillId="7" borderId="7" xfId="157" applyNumberFormat="1" applyFont="1" applyFill="1" applyBorder="1" applyAlignment="1" applyProtection="1">
      <alignment horizontal="center" vertical="center" wrapText="1"/>
      <protection hidden="1"/>
    </xf>
    <xf numFmtId="0" fontId="25" fillId="23" borderId="0" xfId="161" applyFont="1" applyFill="1" applyAlignment="1" applyProtection="1">
      <alignment horizontal="left" vertical="center"/>
      <protection hidden="1"/>
    </xf>
    <xf numFmtId="0" fontId="21" fillId="19" borderId="0" xfId="161" applyFont="1" applyFill="1" applyAlignment="1" applyProtection="1">
      <alignment horizontal="left" vertical="center"/>
      <protection hidden="1"/>
    </xf>
    <xf numFmtId="0" fontId="22" fillId="0" borderId="0" xfId="166" applyFont="1" applyAlignment="1" applyProtection="1">
      <alignment horizontal="left" wrapText="1"/>
      <protection hidden="1"/>
    </xf>
    <xf numFmtId="0" fontId="22" fillId="19" borderId="0" xfId="161" applyFont="1" applyFill="1" applyAlignment="1" applyProtection="1">
      <alignment horizontal="right" vertical="center"/>
      <protection hidden="1"/>
    </xf>
    <xf numFmtId="0" fontId="21" fillId="36" borderId="0" xfId="161" applyFont="1" applyFill="1" applyAlignment="1" applyProtection="1">
      <alignment horizontal="left" vertical="center"/>
      <protection hidden="1"/>
    </xf>
    <xf numFmtId="0" fontId="21" fillId="36" borderId="0" xfId="166" applyFont="1" applyFill="1" applyAlignment="1" applyProtection="1">
      <alignment horizontal="right" wrapText="1"/>
      <protection hidden="1"/>
    </xf>
    <xf numFmtId="184" fontId="26" fillId="19" borderId="2" xfId="161" applyNumberFormat="1" applyFont="1" applyFill="1" applyBorder="1" applyAlignment="1" applyProtection="1">
      <alignment horizontal="right" vertical="center" wrapText="1"/>
      <protection locked="0" hidden="1"/>
    </xf>
    <xf numFmtId="167" fontId="26" fillId="19" borderId="2" xfId="161" applyNumberFormat="1" applyFont="1" applyFill="1" applyBorder="1" applyAlignment="1" applyProtection="1">
      <alignment horizontal="right" vertical="center" wrapText="1"/>
      <protection hidden="1"/>
    </xf>
    <xf numFmtId="165" fontId="26" fillId="19" borderId="2" xfId="163" applyNumberFormat="1" applyFont="1" applyFill="1" applyBorder="1" applyAlignment="1" applyProtection="1">
      <alignment horizontal="right" vertical="center" wrapText="1"/>
      <protection locked="0" hidden="1"/>
    </xf>
    <xf numFmtId="168" fontId="25" fillId="15" borderId="0" xfId="161" applyNumberFormat="1" applyFont="1" applyFill="1" applyAlignment="1" applyProtection="1">
      <alignment horizontal="right" vertical="center"/>
      <protection hidden="1"/>
    </xf>
    <xf numFmtId="170" fontId="31" fillId="15" borderId="0" xfId="161" applyNumberFormat="1" applyFont="1" applyFill="1" applyAlignment="1" applyProtection="1">
      <alignment horizontal="right" vertical="center"/>
      <protection hidden="1"/>
    </xf>
    <xf numFmtId="174" fontId="26" fillId="19" borderId="2" xfId="161" applyNumberFormat="1" applyFont="1" applyFill="1" applyBorder="1" applyAlignment="1" applyProtection="1">
      <alignment horizontal="right" vertical="center" wrapText="1"/>
      <protection locked="0" hidden="1"/>
    </xf>
    <xf numFmtId="165" fontId="31" fillId="19" borderId="2" xfId="163" applyNumberFormat="1" applyFont="1" applyFill="1" applyBorder="1" applyAlignment="1" applyProtection="1">
      <alignment horizontal="right" vertical="center" wrapText="1"/>
      <protection locked="0" hidden="1"/>
    </xf>
    <xf numFmtId="0" fontId="0" fillId="0" borderId="0" xfId="0" applyAlignment="1">
      <alignment vertical="center"/>
    </xf>
    <xf numFmtId="0" fontId="15" fillId="0" borderId="0" xfId="0" applyFont="1" applyAlignment="1">
      <alignment vertical="center"/>
    </xf>
    <xf numFmtId="185" fontId="26" fillId="0" borderId="23" xfId="166" applyNumberFormat="1" applyFont="1" applyBorder="1" applyAlignment="1" applyProtection="1">
      <alignment horizontal="right" vertical="center" wrapText="1"/>
      <protection hidden="1"/>
    </xf>
    <xf numFmtId="0" fontId="21" fillId="0" borderId="23" xfId="166" applyFont="1" applyBorder="1" applyAlignment="1" applyProtection="1">
      <alignment horizontal="right" vertical="center" wrapText="1"/>
      <protection hidden="1"/>
    </xf>
    <xf numFmtId="0" fontId="26" fillId="0" borderId="23" xfId="166" applyFont="1" applyBorder="1" applyAlignment="1" applyProtection="1">
      <alignment horizontal="right" vertical="center"/>
      <protection hidden="1"/>
    </xf>
    <xf numFmtId="0" fontId="27" fillId="0" borderId="23" xfId="166" applyFont="1" applyBorder="1" applyAlignment="1" applyProtection="1">
      <alignment horizontal="right" vertical="center"/>
      <protection hidden="1"/>
    </xf>
    <xf numFmtId="0" fontId="26" fillId="0" borderId="0" xfId="166" applyFont="1" applyAlignment="1" applyProtection="1">
      <alignment horizontal="right" vertical="center"/>
      <protection hidden="1"/>
    </xf>
    <xf numFmtId="0" fontId="26" fillId="0" borderId="23" xfId="166" applyFont="1" applyBorder="1" applyAlignment="1" applyProtection="1">
      <alignment horizontal="right" vertical="center" wrapText="1"/>
      <protection hidden="1"/>
    </xf>
    <xf numFmtId="0" fontId="22" fillId="0" borderId="23" xfId="166" applyFont="1" applyBorder="1" applyAlignment="1" applyProtection="1">
      <alignment horizontal="right" vertical="center" wrapText="1"/>
      <protection hidden="1"/>
    </xf>
    <xf numFmtId="0" fontId="27" fillId="3" borderId="46" xfId="161" applyFont="1" applyFill="1" applyBorder="1" applyAlignment="1" applyProtection="1">
      <alignment horizontal="center" vertical="center"/>
      <protection hidden="1"/>
    </xf>
    <xf numFmtId="174" fontId="47" fillId="3" borderId="47" xfId="161" applyNumberFormat="1" applyFont="1" applyFill="1" applyBorder="1" applyAlignment="1" applyProtection="1">
      <alignment horizontal="left" vertical="center"/>
      <protection hidden="1"/>
    </xf>
    <xf numFmtId="174" fontId="32" fillId="22" borderId="47" xfId="161" applyNumberFormat="1" applyFont="1" applyFill="1" applyBorder="1" applyAlignment="1" applyProtection="1">
      <alignment horizontal="left" vertical="center"/>
      <protection hidden="1"/>
    </xf>
    <xf numFmtId="0" fontId="27" fillId="22" borderId="46" xfId="161" applyFont="1" applyFill="1" applyBorder="1" applyAlignment="1" applyProtection="1">
      <alignment horizontal="center" vertical="center" wrapText="1"/>
      <protection hidden="1"/>
    </xf>
    <xf numFmtId="176" fontId="47" fillId="25" borderId="47" xfId="161" applyNumberFormat="1" applyFont="1" applyFill="1" applyBorder="1" applyAlignment="1" applyProtection="1">
      <alignment horizontal="left" vertical="center"/>
      <protection hidden="1"/>
    </xf>
    <xf numFmtId="165" fontId="31" fillId="7" borderId="0" xfId="163" applyNumberFormat="1" applyFont="1" applyFill="1" applyBorder="1" applyAlignment="1" applyProtection="1">
      <alignment horizontal="right" vertical="center" wrapText="1"/>
      <protection hidden="1"/>
    </xf>
    <xf numFmtId="176" fontId="44" fillId="0" borderId="48" xfId="161" applyNumberFormat="1" applyFont="1" applyBorder="1" applyAlignment="1" applyProtection="1">
      <alignment horizontal="center" vertical="center" wrapText="1"/>
      <protection hidden="1"/>
    </xf>
    <xf numFmtId="176" fontId="44" fillId="0" borderId="50" xfId="161" applyNumberFormat="1" applyFont="1" applyBorder="1" applyAlignment="1" applyProtection="1">
      <alignment horizontal="center" vertical="center" wrapText="1"/>
      <protection hidden="1"/>
    </xf>
    <xf numFmtId="176" fontId="44" fillId="0" borderId="52" xfId="161" applyNumberFormat="1" applyFont="1" applyBorder="1" applyAlignment="1" applyProtection="1">
      <alignment horizontal="center" vertical="center" wrapText="1"/>
      <protection hidden="1"/>
    </xf>
    <xf numFmtId="0" fontId="21" fillId="0" borderId="0" xfId="166" applyFont="1" applyAlignment="1">
      <alignment horizontal="center" vertical="center" wrapText="1"/>
    </xf>
    <xf numFmtId="0" fontId="21" fillId="0" borderId="0" xfId="166" applyFont="1" applyAlignment="1">
      <alignment horizontal="right" vertical="center" wrapText="1"/>
    </xf>
    <xf numFmtId="1" fontId="23" fillId="0" borderId="0" xfId="166" applyNumberFormat="1" applyFont="1" applyAlignment="1" applyProtection="1">
      <alignment horizontal="center" vertical="center" wrapText="1"/>
      <protection hidden="1"/>
    </xf>
    <xf numFmtId="1" fontId="21" fillId="0" borderId="0" xfId="166" applyNumberFormat="1" applyFont="1" applyAlignment="1" applyProtection="1">
      <alignment horizontal="right" vertical="center" wrapText="1"/>
      <protection hidden="1"/>
    </xf>
    <xf numFmtId="1" fontId="30" fillId="0" borderId="0" xfId="166" applyNumberFormat="1" applyFont="1" applyAlignment="1" applyProtection="1">
      <alignment horizontal="center" vertical="center" wrapText="1"/>
      <protection hidden="1"/>
    </xf>
    <xf numFmtId="1" fontId="53" fillId="0" borderId="0" xfId="166" applyNumberFormat="1" applyFont="1" applyAlignment="1">
      <alignment horizontal="right" vertical="center" wrapText="1"/>
    </xf>
    <xf numFmtId="1" fontId="53" fillId="0" borderId="0" xfId="166" applyNumberFormat="1" applyFont="1" applyAlignment="1">
      <alignment horizontal="center" vertical="center" wrapText="1"/>
    </xf>
    <xf numFmtId="1" fontId="23" fillId="0" borderId="1" xfId="166" applyNumberFormat="1" applyFont="1" applyBorder="1" applyAlignment="1" applyProtection="1">
      <alignment horizontal="center" vertical="center" wrapText="1"/>
      <protection hidden="1"/>
    </xf>
    <xf numFmtId="1" fontId="21" fillId="0" borderId="1" xfId="166" applyNumberFormat="1" applyFont="1" applyBorder="1" applyAlignment="1" applyProtection="1">
      <alignment horizontal="right" vertical="center" wrapText="1"/>
      <protection hidden="1"/>
    </xf>
    <xf numFmtId="1" fontId="30" fillId="0" borderId="1" xfId="166" applyNumberFormat="1" applyFont="1" applyBorder="1" applyAlignment="1" applyProtection="1">
      <alignment horizontal="center" vertical="center" wrapText="1"/>
      <protection hidden="1"/>
    </xf>
    <xf numFmtId="1" fontId="34" fillId="0" borderId="0" xfId="166" applyNumberFormat="1" applyFont="1" applyAlignment="1" applyProtection="1">
      <alignment horizontal="center" vertical="center" wrapText="1"/>
      <protection hidden="1"/>
    </xf>
    <xf numFmtId="1" fontId="25" fillId="0" borderId="0" xfId="166" applyNumberFormat="1" applyFont="1" applyAlignment="1" applyProtection="1">
      <alignment horizontal="right" vertical="center" wrapText="1"/>
      <protection hidden="1"/>
    </xf>
    <xf numFmtId="1" fontId="39" fillId="0" borderId="0" xfId="166" applyNumberFormat="1" applyFont="1" applyAlignment="1" applyProtection="1">
      <alignment horizontal="center" vertical="center" wrapText="1"/>
      <protection hidden="1"/>
    </xf>
    <xf numFmtId="0" fontId="34" fillId="0" borderId="0" xfId="166" applyFont="1" applyAlignment="1" applyProtection="1">
      <alignment horizontal="center" vertical="center" wrapText="1"/>
      <protection hidden="1"/>
    </xf>
    <xf numFmtId="0" fontId="44" fillId="0" borderId="0" xfId="161" applyFont="1" applyAlignment="1" applyProtection="1">
      <alignment horizontal="center" vertical="center" wrapText="1"/>
      <protection hidden="1"/>
    </xf>
    <xf numFmtId="168" fontId="38" fillId="6" borderId="0" xfId="161" applyNumberFormat="1" applyFont="1" applyFill="1" applyAlignment="1" applyProtection="1">
      <alignment horizontal="right" wrapText="1"/>
      <protection hidden="1"/>
    </xf>
    <xf numFmtId="0" fontId="38" fillId="6" borderId="0" xfId="161" applyFont="1" applyFill="1" applyAlignment="1" applyProtection="1">
      <alignment horizontal="right" wrapText="1"/>
      <protection hidden="1"/>
    </xf>
    <xf numFmtId="166" fontId="36" fillId="0" borderId="0" xfId="161" applyNumberFormat="1" applyFont="1" applyAlignment="1" applyProtection="1">
      <alignment horizontal="right" vertical="center"/>
      <protection hidden="1"/>
    </xf>
    <xf numFmtId="0" fontId="59" fillId="0" borderId="0" xfId="161" applyFont="1" applyAlignment="1" applyProtection="1">
      <alignment horizontal="right" vertical="center"/>
      <protection hidden="1"/>
    </xf>
    <xf numFmtId="170" fontId="20" fillId="18" borderId="0" xfId="161" applyNumberFormat="1" applyFont="1" applyFill="1" applyAlignment="1" applyProtection="1">
      <alignment horizontal="right" vertical="center" wrapText="1"/>
      <protection hidden="1"/>
    </xf>
    <xf numFmtId="180" fontId="20" fillId="0" borderId="0" xfId="161" applyNumberFormat="1" applyFont="1" applyAlignment="1" applyProtection="1">
      <alignment horizontal="right" vertical="center" wrapText="1"/>
      <protection hidden="1"/>
    </xf>
    <xf numFmtId="178" fontId="20" fillId="0" borderId="0" xfId="161" applyNumberFormat="1" applyFont="1" applyAlignment="1" applyProtection="1">
      <alignment horizontal="right" vertical="center" wrapText="1"/>
      <protection hidden="1"/>
    </xf>
    <xf numFmtId="167" fontId="20" fillId="12" borderId="0" xfId="161" applyNumberFormat="1" applyFont="1" applyFill="1" applyAlignment="1" applyProtection="1">
      <alignment horizontal="right" vertical="center" wrapText="1"/>
      <protection hidden="1"/>
    </xf>
    <xf numFmtId="167" fontId="20" fillId="20" borderId="0" xfId="161" applyNumberFormat="1" applyFont="1" applyFill="1" applyAlignment="1" applyProtection="1">
      <alignment horizontal="right" vertical="center" wrapText="1"/>
      <protection hidden="1"/>
    </xf>
    <xf numFmtId="178" fontId="29" fillId="0" borderId="0" xfId="161" applyNumberFormat="1" applyFont="1" applyAlignment="1" applyProtection="1">
      <alignment horizontal="right" vertical="center" wrapText="1"/>
      <protection hidden="1"/>
    </xf>
    <xf numFmtId="170" fontId="20" fillId="15" borderId="0" xfId="161" applyNumberFormat="1" applyFont="1" applyFill="1" applyAlignment="1" applyProtection="1">
      <alignment horizontal="right" vertical="center" wrapText="1"/>
      <protection hidden="1"/>
    </xf>
    <xf numFmtId="170" fontId="38" fillId="6" borderId="0" xfId="161" applyNumberFormat="1" applyFont="1" applyFill="1" applyAlignment="1" applyProtection="1">
      <alignment horizontal="right" vertical="center" wrapText="1"/>
      <protection hidden="1"/>
    </xf>
    <xf numFmtId="180" fontId="38" fillId="6" borderId="0" xfId="161" applyNumberFormat="1" applyFont="1" applyFill="1" applyAlignment="1" applyProtection="1">
      <alignment horizontal="right" vertical="center" wrapText="1"/>
      <protection hidden="1"/>
    </xf>
    <xf numFmtId="178" fontId="38" fillId="6" borderId="0" xfId="161" applyNumberFormat="1" applyFont="1" applyFill="1" applyAlignment="1" applyProtection="1">
      <alignment horizontal="right" vertical="center" wrapText="1"/>
      <protection hidden="1"/>
    </xf>
    <xf numFmtId="168" fontId="38" fillId="6" borderId="0" xfId="161" applyNumberFormat="1" applyFont="1" applyFill="1" applyAlignment="1" applyProtection="1">
      <alignment horizontal="right"/>
      <protection hidden="1"/>
    </xf>
    <xf numFmtId="170" fontId="20" fillId="18" borderId="0" xfId="161" applyNumberFormat="1" applyFont="1" applyFill="1" applyAlignment="1" applyProtection="1">
      <alignment horizontal="right" vertical="center"/>
      <protection hidden="1"/>
    </xf>
    <xf numFmtId="167" fontId="20" fillId="12" borderId="0" xfId="161" applyNumberFormat="1" applyFont="1" applyFill="1" applyAlignment="1" applyProtection="1">
      <alignment horizontal="right" vertical="center"/>
      <protection hidden="1"/>
    </xf>
    <xf numFmtId="167" fontId="20" fillId="20" borderId="0" xfId="161" applyNumberFormat="1" applyFont="1" applyFill="1" applyAlignment="1" applyProtection="1">
      <alignment horizontal="right" vertical="center"/>
      <protection hidden="1"/>
    </xf>
    <xf numFmtId="170" fontId="20" fillId="15" borderId="0" xfId="161" applyNumberFormat="1" applyFont="1" applyFill="1" applyAlignment="1" applyProtection="1">
      <alignment horizontal="right" vertical="center"/>
      <protection hidden="1"/>
    </xf>
    <xf numFmtId="170" fontId="38" fillId="6" borderId="0" xfId="161" applyNumberFormat="1" applyFont="1" applyFill="1" applyAlignment="1" applyProtection="1">
      <alignment horizontal="right" vertical="center"/>
      <protection hidden="1"/>
    </xf>
    <xf numFmtId="0" fontId="22" fillId="0" borderId="0" xfId="161" applyFont="1" applyAlignment="1" applyProtection="1">
      <alignment vertical="center" wrapText="1"/>
      <protection hidden="1"/>
    </xf>
    <xf numFmtId="0" fontId="21" fillId="0" borderId="0" xfId="161" applyFont="1" applyAlignment="1" applyProtection="1">
      <alignment vertical="center" wrapText="1"/>
      <protection hidden="1"/>
    </xf>
    <xf numFmtId="0" fontId="30" fillId="0" borderId="0" xfId="161" applyFont="1" applyAlignment="1" applyProtection="1">
      <alignment vertical="center" wrapText="1"/>
      <protection hidden="1"/>
    </xf>
    <xf numFmtId="0" fontId="60" fillId="0" borderId="0" xfId="161" applyFont="1" applyAlignment="1" applyProtection="1">
      <alignment vertical="center" wrapText="1"/>
      <protection hidden="1"/>
    </xf>
    <xf numFmtId="0" fontId="25" fillId="19" borderId="0" xfId="161" applyFont="1" applyFill="1" applyAlignment="1" applyProtection="1">
      <alignment horizontal="left" vertical="center"/>
      <protection hidden="1"/>
    </xf>
    <xf numFmtId="0" fontId="0" fillId="0" borderId="0" xfId="0" applyAlignment="1">
      <alignment horizontal="center"/>
    </xf>
    <xf numFmtId="167" fontId="33" fillId="6" borderId="0" xfId="161" applyNumberFormat="1" applyFont="1" applyFill="1" applyAlignment="1" applyProtection="1">
      <alignment horizontal="right" vertical="center"/>
      <protection hidden="1"/>
    </xf>
    <xf numFmtId="0" fontId="22" fillId="6" borderId="6" xfId="161" applyFont="1" applyFill="1" applyBorder="1" applyAlignment="1" applyProtection="1">
      <alignment horizontal="right"/>
      <protection hidden="1"/>
    </xf>
    <xf numFmtId="0" fontId="27" fillId="6" borderId="6" xfId="161" applyFont="1" applyFill="1" applyBorder="1" applyAlignment="1" applyProtection="1">
      <alignment horizontal="right" wrapText="1" shrinkToFit="1"/>
      <protection hidden="1"/>
    </xf>
    <xf numFmtId="169" fontId="27" fillId="6" borderId="6" xfId="161" applyNumberFormat="1" applyFont="1" applyFill="1" applyBorder="1" applyAlignment="1" applyProtection="1">
      <alignment horizontal="right" wrapText="1" shrinkToFit="1"/>
      <protection hidden="1"/>
    </xf>
    <xf numFmtId="0" fontId="22" fillId="6" borderId="6" xfId="161" applyFont="1" applyFill="1" applyBorder="1" applyAlignment="1" applyProtection="1">
      <alignment horizontal="right" wrapText="1"/>
      <protection hidden="1"/>
    </xf>
    <xf numFmtId="177" fontId="22" fillId="6" borderId="0" xfId="161" applyNumberFormat="1" applyFont="1" applyFill="1" applyAlignment="1" applyProtection="1">
      <alignment horizontal="right" wrapText="1" shrinkToFit="1"/>
      <protection hidden="1"/>
    </xf>
    <xf numFmtId="165" fontId="31" fillId="19" borderId="3" xfId="163" applyNumberFormat="1" applyFont="1" applyFill="1" applyBorder="1" applyAlignment="1" applyProtection="1">
      <alignment horizontal="right" vertical="center" wrapText="1"/>
      <protection locked="0" hidden="1"/>
    </xf>
    <xf numFmtId="176" fontId="47" fillId="6" borderId="1" xfId="161" applyNumberFormat="1" applyFont="1" applyFill="1" applyBorder="1" applyAlignment="1" applyProtection="1">
      <alignment horizontal="right" vertical="center" shrinkToFit="1"/>
      <protection hidden="1"/>
    </xf>
    <xf numFmtId="176" fontId="47" fillId="6" borderId="1" xfId="161" applyNumberFormat="1" applyFont="1" applyFill="1" applyBorder="1" applyAlignment="1" applyProtection="1">
      <alignment horizontal="right" vertical="center"/>
      <protection hidden="1"/>
    </xf>
    <xf numFmtId="180" fontId="47" fillId="6" borderId="1" xfId="161" applyNumberFormat="1" applyFont="1" applyFill="1" applyBorder="1" applyAlignment="1" applyProtection="1">
      <alignment horizontal="right" vertical="center" wrapText="1"/>
      <protection hidden="1"/>
    </xf>
    <xf numFmtId="169" fontId="47" fillId="6" borderId="1" xfId="161" applyNumberFormat="1" applyFont="1" applyFill="1" applyBorder="1" applyAlignment="1" applyProtection="1">
      <alignment horizontal="right" vertical="center" shrinkToFit="1"/>
      <protection hidden="1"/>
    </xf>
    <xf numFmtId="165" fontId="47" fillId="6" borderId="1" xfId="163" applyNumberFormat="1" applyFont="1" applyFill="1" applyBorder="1" applyAlignment="1" applyProtection="1">
      <alignment horizontal="right" vertical="center" shrinkToFit="1"/>
      <protection hidden="1"/>
    </xf>
    <xf numFmtId="165" fontId="47" fillId="6" borderId="1" xfId="163" applyNumberFormat="1" applyFont="1" applyFill="1" applyBorder="1" applyAlignment="1" applyProtection="1">
      <alignment horizontal="right" vertical="center" wrapText="1"/>
      <protection hidden="1"/>
    </xf>
    <xf numFmtId="0" fontId="27" fillId="6" borderId="6" xfId="161" applyFont="1" applyFill="1" applyBorder="1" applyAlignment="1" applyProtection="1">
      <alignment horizontal="right" shrinkToFit="1"/>
      <protection hidden="1"/>
    </xf>
    <xf numFmtId="172" fontId="27" fillId="6" borderId="6" xfId="161" applyNumberFormat="1" applyFont="1" applyFill="1" applyBorder="1" applyAlignment="1" applyProtection="1">
      <alignment horizontal="right" shrinkToFit="1"/>
      <protection hidden="1"/>
    </xf>
    <xf numFmtId="169" fontId="27" fillId="6" borderId="6" xfId="161" applyNumberFormat="1" applyFont="1" applyFill="1" applyBorder="1" applyAlignment="1" applyProtection="1">
      <alignment horizontal="center" wrapText="1" shrinkToFit="1"/>
      <protection hidden="1"/>
    </xf>
    <xf numFmtId="168" fontId="22" fillId="6" borderId="6" xfId="161" applyNumberFormat="1" applyFont="1" applyFill="1" applyBorder="1" applyAlignment="1" applyProtection="1">
      <alignment horizontal="right"/>
      <protection hidden="1"/>
    </xf>
    <xf numFmtId="170" fontId="22" fillId="6" borderId="6" xfId="161" applyNumberFormat="1" applyFont="1" applyFill="1" applyBorder="1" applyAlignment="1" applyProtection="1">
      <alignment horizontal="center" wrapText="1" shrinkToFit="1"/>
      <protection hidden="1"/>
    </xf>
    <xf numFmtId="0" fontId="33" fillId="6" borderId="6" xfId="161" applyFont="1" applyFill="1" applyBorder="1" applyAlignment="1" applyProtection="1">
      <alignment horizontal="center" wrapText="1" shrinkToFit="1"/>
      <protection hidden="1"/>
    </xf>
    <xf numFmtId="174" fontId="26" fillId="7" borderId="0" xfId="161" applyNumberFormat="1" applyFont="1" applyFill="1" applyAlignment="1" applyProtection="1">
      <alignment horizontal="right" vertical="center"/>
      <protection hidden="1"/>
    </xf>
    <xf numFmtId="0" fontId="44" fillId="0" borderId="0" xfId="161" applyFont="1" applyAlignment="1" applyProtection="1">
      <alignment horizontal="left" vertical="center" indent="1"/>
      <protection hidden="1"/>
    </xf>
    <xf numFmtId="0" fontId="44" fillId="0" borderId="0" xfId="161" applyFont="1" applyAlignment="1" applyProtection="1">
      <alignment vertical="center" wrapText="1"/>
      <protection hidden="1"/>
    </xf>
    <xf numFmtId="170" fontId="26" fillId="25" borderId="0" xfId="161" applyNumberFormat="1" applyFont="1" applyFill="1" applyAlignment="1" applyProtection="1">
      <alignment horizontal="right" vertical="center"/>
      <protection hidden="1"/>
    </xf>
    <xf numFmtId="180" fontId="47" fillId="6" borderId="1" xfId="161" applyNumberFormat="1" applyFont="1" applyFill="1" applyBorder="1" applyAlignment="1" applyProtection="1">
      <alignment horizontal="right" vertical="center"/>
      <protection hidden="1"/>
    </xf>
    <xf numFmtId="191" fontId="21" fillId="0" borderId="0" xfId="166" applyNumberFormat="1" applyFont="1" applyAlignment="1" applyProtection="1">
      <alignment horizontal="right" vertical="center" shrinkToFit="1"/>
      <protection hidden="1"/>
    </xf>
    <xf numFmtId="1" fontId="27" fillId="25" borderId="46" xfId="161" applyNumberFormat="1" applyFont="1" applyFill="1" applyBorder="1" applyAlignment="1" applyProtection="1">
      <alignment horizontal="center" vertical="center"/>
      <protection hidden="1"/>
    </xf>
    <xf numFmtId="176" fontId="47" fillId="26" borderId="47" xfId="161" applyNumberFormat="1" applyFont="1" applyFill="1" applyBorder="1" applyAlignment="1" applyProtection="1">
      <alignment horizontal="left" vertical="center"/>
      <protection hidden="1"/>
    </xf>
    <xf numFmtId="1" fontId="27" fillId="26" borderId="46" xfId="161" applyNumberFormat="1" applyFont="1" applyFill="1" applyBorder="1" applyAlignment="1" applyProtection="1">
      <alignment horizontal="center" vertical="center"/>
      <protection hidden="1"/>
    </xf>
    <xf numFmtId="170" fontId="21" fillId="13" borderId="0" xfId="161" applyNumberFormat="1" applyFont="1" applyFill="1" applyAlignment="1" applyProtection="1">
      <alignment horizontal="right" vertical="center"/>
      <protection hidden="1"/>
    </xf>
    <xf numFmtId="170" fontId="27" fillId="6" borderId="14" xfId="161" applyNumberFormat="1" applyFont="1" applyFill="1" applyBorder="1" applyAlignment="1" applyProtection="1">
      <alignment horizontal="center" wrapText="1" shrinkToFit="1"/>
      <protection hidden="1"/>
    </xf>
    <xf numFmtId="165" fontId="31" fillId="7" borderId="6" xfId="157" applyNumberFormat="1" applyFont="1" applyFill="1" applyBorder="1" applyAlignment="1" applyProtection="1">
      <alignment horizontal="center" vertical="center" wrapText="1"/>
      <protection hidden="1"/>
    </xf>
    <xf numFmtId="165" fontId="31" fillId="7" borderId="8" xfId="157" applyNumberFormat="1" applyFont="1" applyFill="1" applyBorder="1" applyAlignment="1" applyProtection="1">
      <alignment horizontal="center" vertical="center" wrapText="1"/>
      <protection hidden="1"/>
    </xf>
    <xf numFmtId="0" fontId="26" fillId="7" borderId="14" xfId="161" applyFont="1" applyFill="1" applyBorder="1" applyAlignment="1" applyProtection="1">
      <alignment horizontal="center" vertical="center" wrapText="1"/>
      <protection hidden="1"/>
    </xf>
    <xf numFmtId="165" fontId="31" fillId="7" borderId="10" xfId="157" applyNumberFormat="1" applyFont="1" applyFill="1" applyBorder="1" applyAlignment="1" applyProtection="1">
      <alignment horizontal="center" vertical="center" wrapText="1"/>
      <protection hidden="1"/>
    </xf>
    <xf numFmtId="165" fontId="31" fillId="7" borderId="14" xfId="157" applyNumberFormat="1" applyFont="1" applyFill="1" applyBorder="1" applyAlignment="1" applyProtection="1">
      <alignment horizontal="center" vertical="center" wrapText="1"/>
      <protection hidden="1"/>
    </xf>
    <xf numFmtId="0" fontId="27" fillId="6" borderId="6" xfId="161" applyFont="1" applyFill="1" applyBorder="1" applyAlignment="1" applyProtection="1">
      <alignment horizontal="center" shrinkToFit="1"/>
      <protection hidden="1"/>
    </xf>
    <xf numFmtId="172" fontId="27" fillId="6" borderId="6" xfId="161" applyNumberFormat="1" applyFont="1" applyFill="1" applyBorder="1" applyAlignment="1" applyProtection="1">
      <alignment horizontal="center" shrinkToFit="1"/>
      <protection hidden="1"/>
    </xf>
    <xf numFmtId="0" fontId="27" fillId="6" borderId="6" xfId="161" applyFont="1" applyFill="1" applyBorder="1" applyAlignment="1" applyProtection="1">
      <alignment horizontal="center" wrapText="1" shrinkToFit="1"/>
      <protection hidden="1"/>
    </xf>
    <xf numFmtId="0" fontId="22" fillId="6" borderId="6" xfId="161" applyFont="1" applyFill="1" applyBorder="1" applyAlignment="1" applyProtection="1">
      <alignment horizontal="center" wrapText="1"/>
      <protection hidden="1"/>
    </xf>
    <xf numFmtId="170" fontId="50" fillId="27" borderId="0" xfId="0" applyNumberFormat="1" applyFont="1" applyFill="1" applyAlignment="1" applyProtection="1">
      <alignment horizontal="center" vertical="center" wrapText="1"/>
      <protection hidden="1"/>
    </xf>
    <xf numFmtId="170" fontId="50" fillId="28" borderId="0" xfId="0" applyNumberFormat="1" applyFont="1" applyFill="1" applyAlignment="1" applyProtection="1">
      <alignment horizontal="center" vertical="center" wrapText="1"/>
      <protection hidden="1"/>
    </xf>
    <xf numFmtId="170" fontId="50" fillId="29" borderId="0" xfId="0" applyNumberFormat="1" applyFont="1" applyFill="1" applyAlignment="1" applyProtection="1">
      <alignment horizontal="center" vertical="center" wrapText="1"/>
      <protection hidden="1"/>
    </xf>
    <xf numFmtId="170" fontId="26" fillId="35" borderId="23" xfId="0" applyNumberFormat="1" applyFont="1" applyFill="1" applyBorder="1" applyAlignment="1" applyProtection="1">
      <alignment horizontal="center" vertical="center" wrapText="1"/>
      <protection hidden="1"/>
    </xf>
    <xf numFmtId="170" fontId="50" fillId="30" borderId="0" xfId="0" applyNumberFormat="1" applyFont="1" applyFill="1" applyAlignment="1" applyProtection="1">
      <alignment horizontal="center" vertical="center" wrapText="1"/>
      <protection hidden="1"/>
    </xf>
    <xf numFmtId="170" fontId="50" fillId="31" borderId="0" xfId="0" applyNumberFormat="1" applyFont="1" applyFill="1" applyAlignment="1" applyProtection="1">
      <alignment horizontal="center" vertical="center" wrapText="1"/>
      <protection hidden="1"/>
    </xf>
    <xf numFmtId="170" fontId="50" fillId="32" borderId="0" xfId="0" applyNumberFormat="1" applyFont="1" applyFill="1" applyAlignment="1" applyProtection="1">
      <alignment horizontal="center" vertical="center" wrapText="1"/>
      <protection hidden="1"/>
    </xf>
    <xf numFmtId="0" fontId="21" fillId="0" borderId="39" xfId="166" applyFont="1" applyBorder="1" applyAlignment="1" applyProtection="1">
      <alignment horizontal="right" vertical="center" wrapText="1"/>
      <protection hidden="1"/>
    </xf>
    <xf numFmtId="191" fontId="21" fillId="0" borderId="39" xfId="166" applyNumberFormat="1" applyFont="1" applyBorder="1" applyAlignment="1" applyProtection="1">
      <alignment horizontal="right" vertical="center" shrinkToFit="1"/>
      <protection hidden="1"/>
    </xf>
    <xf numFmtId="0" fontId="21" fillId="0" borderId="39" xfId="166" applyFont="1" applyBorder="1" applyAlignment="1">
      <alignment horizontal="center" vertical="center" wrapText="1"/>
    </xf>
    <xf numFmtId="0" fontId="23" fillId="0" borderId="39" xfId="166" applyFont="1" applyBorder="1" applyAlignment="1" applyProtection="1">
      <alignment horizontal="center" vertical="center" wrapText="1"/>
      <protection hidden="1"/>
    </xf>
    <xf numFmtId="0" fontId="45" fillId="0" borderId="17" xfId="166" applyFont="1" applyBorder="1" applyAlignment="1" applyProtection="1">
      <alignment horizontal="center" vertical="center" wrapText="1"/>
      <protection hidden="1"/>
    </xf>
    <xf numFmtId="191" fontId="21" fillId="0" borderId="17" xfId="166" applyNumberFormat="1" applyFont="1" applyBorder="1" applyAlignment="1" applyProtection="1">
      <alignment horizontal="right" vertical="center" shrinkToFit="1"/>
      <protection hidden="1"/>
    </xf>
    <xf numFmtId="0" fontId="21" fillId="0" borderId="17" xfId="166" applyFont="1" applyBorder="1" applyAlignment="1">
      <alignment horizontal="center" vertical="center" wrapText="1"/>
    </xf>
    <xf numFmtId="1" fontId="34" fillId="41" borderId="57" xfId="166" applyNumberFormat="1" applyFont="1" applyFill="1" applyBorder="1" applyAlignment="1" applyProtection="1">
      <alignment horizontal="center" vertical="center" wrapText="1"/>
      <protection hidden="1"/>
    </xf>
    <xf numFmtId="1" fontId="25" fillId="41" borderId="57" xfId="166" applyNumberFormat="1" applyFont="1" applyFill="1" applyBorder="1" applyAlignment="1" applyProtection="1">
      <alignment horizontal="right" vertical="center" wrapText="1"/>
      <protection hidden="1"/>
    </xf>
    <xf numFmtId="1" fontId="39" fillId="41" borderId="57" xfId="166" applyNumberFormat="1" applyFont="1" applyFill="1" applyBorder="1" applyAlignment="1" applyProtection="1">
      <alignment horizontal="center" vertical="center" wrapText="1"/>
      <protection hidden="1"/>
    </xf>
    <xf numFmtId="1" fontId="23" fillId="0" borderId="57" xfId="166" applyNumberFormat="1" applyFont="1" applyBorder="1" applyAlignment="1" applyProtection="1">
      <alignment horizontal="center" vertical="center" wrapText="1"/>
      <protection hidden="1"/>
    </xf>
    <xf numFmtId="1" fontId="21" fillId="0" borderId="57" xfId="166" applyNumberFormat="1" applyFont="1" applyBorder="1" applyAlignment="1" applyProtection="1">
      <alignment horizontal="right" vertical="center" wrapText="1"/>
      <protection hidden="1"/>
    </xf>
    <xf numFmtId="1" fontId="30" fillId="0" borderId="57" xfId="166" applyNumberFormat="1" applyFont="1" applyBorder="1" applyAlignment="1" applyProtection="1">
      <alignment horizontal="center" vertical="center" wrapText="1"/>
      <protection hidden="1"/>
    </xf>
    <xf numFmtId="1" fontId="23" fillId="0" borderId="65" xfId="166" applyNumberFormat="1" applyFont="1" applyBorder="1" applyAlignment="1" applyProtection="1">
      <alignment horizontal="center" vertical="center" wrapText="1"/>
      <protection hidden="1"/>
    </xf>
    <xf numFmtId="1" fontId="21" fillId="0" borderId="65" xfId="166" applyNumberFormat="1" applyFont="1" applyBorder="1" applyAlignment="1" applyProtection="1">
      <alignment horizontal="right" vertical="center" wrapText="1"/>
      <protection hidden="1"/>
    </xf>
    <xf numFmtId="1" fontId="30" fillId="0" borderId="65" xfId="166" applyNumberFormat="1" applyFont="1" applyBorder="1" applyAlignment="1" applyProtection="1">
      <alignment horizontal="center" vertical="center" wrapText="1"/>
      <protection hidden="1"/>
    </xf>
    <xf numFmtId="0" fontId="27" fillId="42" borderId="64" xfId="166" applyFont="1" applyFill="1" applyBorder="1" applyAlignment="1" applyProtection="1">
      <alignment horizontal="right" vertical="center"/>
      <protection hidden="1"/>
    </xf>
    <xf numFmtId="0" fontId="47" fillId="42" borderId="64" xfId="166" applyFont="1" applyFill="1" applyBorder="1" applyAlignment="1" applyProtection="1">
      <alignment horizontal="right" vertical="center"/>
      <protection hidden="1"/>
    </xf>
    <xf numFmtId="1" fontId="34" fillId="42" borderId="65" xfId="166" applyNumberFormat="1" applyFont="1" applyFill="1" applyBorder="1" applyAlignment="1" applyProtection="1">
      <alignment horizontal="center" vertical="center" wrapText="1"/>
      <protection hidden="1"/>
    </xf>
    <xf numFmtId="1" fontId="25" fillId="42" borderId="65" xfId="166" applyNumberFormat="1" applyFont="1" applyFill="1" applyBorder="1" applyAlignment="1" applyProtection="1">
      <alignment horizontal="right" vertical="center" wrapText="1"/>
      <protection hidden="1"/>
    </xf>
    <xf numFmtId="1" fontId="39" fillId="42" borderId="65" xfId="166" applyNumberFormat="1" applyFont="1" applyFill="1" applyBorder="1" applyAlignment="1" applyProtection="1">
      <alignment horizontal="center" vertical="center" wrapText="1"/>
      <protection hidden="1"/>
    </xf>
    <xf numFmtId="1" fontId="23" fillId="0" borderId="70" xfId="166" applyNumberFormat="1" applyFont="1" applyBorder="1" applyAlignment="1" applyProtection="1">
      <alignment horizontal="center" vertical="center" wrapText="1"/>
      <protection hidden="1"/>
    </xf>
    <xf numFmtId="1" fontId="21" fillId="0" borderId="70" xfId="166" applyNumberFormat="1" applyFont="1" applyBorder="1" applyAlignment="1" applyProtection="1">
      <alignment horizontal="right" vertical="center" wrapText="1"/>
      <protection hidden="1"/>
    </xf>
    <xf numFmtId="1" fontId="30" fillId="0" borderId="70" xfId="166" applyNumberFormat="1" applyFont="1" applyBorder="1" applyAlignment="1" applyProtection="1">
      <alignment horizontal="center" vertical="center" wrapText="1"/>
      <protection hidden="1"/>
    </xf>
    <xf numFmtId="0" fontId="26" fillId="25" borderId="61" xfId="166" applyFont="1" applyFill="1" applyBorder="1" applyAlignment="1" applyProtection="1">
      <alignment horizontal="right" vertical="center"/>
      <protection hidden="1"/>
    </xf>
    <xf numFmtId="0" fontId="23" fillId="0" borderId="0" xfId="166" applyFont="1" applyAlignment="1" applyProtection="1">
      <alignment horizontal="left" vertical="center" indent="1"/>
      <protection hidden="1"/>
    </xf>
    <xf numFmtId="0" fontId="27" fillId="25" borderId="61" xfId="166" applyFont="1" applyFill="1" applyBorder="1" applyAlignment="1" applyProtection="1">
      <alignment horizontal="right" vertical="center"/>
      <protection hidden="1"/>
    </xf>
    <xf numFmtId="1" fontId="22" fillId="0" borderId="0" xfId="166" applyNumberFormat="1" applyFont="1" applyAlignment="1" applyProtection="1">
      <alignment horizontal="right" vertical="center" wrapText="1"/>
      <protection hidden="1"/>
    </xf>
    <xf numFmtId="1" fontId="23" fillId="3" borderId="0" xfId="166" applyNumberFormat="1" applyFont="1" applyFill="1" applyAlignment="1" applyProtection="1">
      <alignment horizontal="center" vertical="center" wrapText="1"/>
      <protection hidden="1"/>
    </xf>
    <xf numFmtId="1" fontId="21" fillId="3" borderId="0" xfId="166" applyNumberFormat="1" applyFont="1" applyFill="1" applyAlignment="1" applyProtection="1">
      <alignment horizontal="right" vertical="center" wrapText="1"/>
      <protection hidden="1"/>
    </xf>
    <xf numFmtId="1" fontId="30" fillId="3" borderId="0" xfId="166" applyNumberFormat="1" applyFont="1" applyFill="1" applyAlignment="1" applyProtection="1">
      <alignment horizontal="center" vertical="center" wrapText="1"/>
      <protection hidden="1"/>
    </xf>
    <xf numFmtId="1" fontId="22" fillId="3" borderId="0" xfId="166" applyNumberFormat="1" applyFont="1" applyFill="1" applyAlignment="1" applyProtection="1">
      <alignment horizontal="right" vertical="center" wrapText="1"/>
      <protection hidden="1"/>
    </xf>
    <xf numFmtId="0" fontId="26" fillId="3" borderId="83" xfId="166" applyFont="1" applyFill="1" applyBorder="1" applyAlignment="1" applyProtection="1">
      <alignment horizontal="right" vertical="center"/>
      <protection hidden="1"/>
    </xf>
    <xf numFmtId="0" fontId="27" fillId="3" borderId="83" xfId="166" applyFont="1" applyFill="1" applyBorder="1" applyAlignment="1" applyProtection="1">
      <alignment horizontal="right" vertical="center"/>
      <protection hidden="1"/>
    </xf>
    <xf numFmtId="0" fontId="27" fillId="3" borderId="78" xfId="166" applyFont="1" applyFill="1" applyBorder="1" applyAlignment="1" applyProtection="1">
      <alignment horizontal="right" vertical="center"/>
      <protection hidden="1"/>
    </xf>
    <xf numFmtId="1" fontId="23" fillId="3" borderId="86" xfId="166" applyNumberFormat="1" applyFont="1" applyFill="1" applyBorder="1" applyAlignment="1" applyProtection="1">
      <alignment horizontal="center" vertical="center" wrapText="1"/>
      <protection hidden="1"/>
    </xf>
    <xf numFmtId="1" fontId="21" fillId="3" borderId="86" xfId="166" applyNumberFormat="1" applyFont="1" applyFill="1" applyBorder="1" applyAlignment="1" applyProtection="1">
      <alignment horizontal="right" vertical="center" wrapText="1"/>
      <protection hidden="1"/>
    </xf>
    <xf numFmtId="1" fontId="30" fillId="3" borderId="86" xfId="166" applyNumberFormat="1" applyFont="1" applyFill="1" applyBorder="1" applyAlignment="1" applyProtection="1">
      <alignment horizontal="center" vertical="center" wrapText="1"/>
      <protection hidden="1"/>
    </xf>
    <xf numFmtId="0" fontId="47" fillId="3" borderId="78" xfId="166" applyFont="1" applyFill="1" applyBorder="1" applyAlignment="1" applyProtection="1">
      <alignment horizontal="right" vertical="center"/>
      <protection hidden="1"/>
    </xf>
    <xf numFmtId="1" fontId="34" fillId="3" borderId="86" xfId="166" applyNumberFormat="1" applyFont="1" applyFill="1" applyBorder="1" applyAlignment="1" applyProtection="1">
      <alignment horizontal="center" vertical="center" wrapText="1"/>
      <protection hidden="1"/>
    </xf>
    <xf numFmtId="1" fontId="25" fillId="3" borderId="86" xfId="166" applyNumberFormat="1" applyFont="1" applyFill="1" applyBorder="1" applyAlignment="1" applyProtection="1">
      <alignment horizontal="right" vertical="center" wrapText="1"/>
      <protection hidden="1"/>
    </xf>
    <xf numFmtId="1" fontId="39" fillId="3" borderId="86" xfId="166" applyNumberFormat="1" applyFont="1" applyFill="1" applyBorder="1" applyAlignment="1" applyProtection="1">
      <alignment horizontal="center" vertical="center" wrapText="1"/>
      <protection hidden="1"/>
    </xf>
    <xf numFmtId="193" fontId="32" fillId="25" borderId="65" xfId="166" applyNumberFormat="1" applyFont="1" applyFill="1" applyBorder="1" applyAlignment="1" applyProtection="1">
      <alignment horizontal="right" vertical="center" shrinkToFit="1"/>
      <protection hidden="1"/>
    </xf>
    <xf numFmtId="193" fontId="32" fillId="25" borderId="67" xfId="166" applyNumberFormat="1" applyFont="1" applyFill="1" applyBorder="1" applyAlignment="1" applyProtection="1">
      <alignment horizontal="right" vertical="center" shrinkToFit="1"/>
      <protection hidden="1"/>
    </xf>
    <xf numFmtId="193" fontId="32" fillId="41" borderId="57" xfId="166" applyNumberFormat="1" applyFont="1" applyFill="1" applyBorder="1" applyAlignment="1" applyProtection="1">
      <alignment horizontal="right" vertical="center" shrinkToFit="1"/>
      <protection hidden="1"/>
    </xf>
    <xf numFmtId="193" fontId="32" fillId="41" borderId="58" xfId="166" applyNumberFormat="1" applyFont="1" applyFill="1" applyBorder="1" applyAlignment="1" applyProtection="1">
      <alignment horizontal="right" vertical="center" shrinkToFit="1"/>
      <protection hidden="1"/>
    </xf>
    <xf numFmtId="193" fontId="32" fillId="41" borderId="59" xfId="166" applyNumberFormat="1" applyFont="1" applyFill="1" applyBorder="1" applyAlignment="1" applyProtection="1">
      <alignment horizontal="right" vertical="center" shrinkToFit="1"/>
      <protection hidden="1"/>
    </xf>
    <xf numFmtId="0" fontId="44" fillId="0" borderId="0" xfId="166" applyFont="1" applyAlignment="1" applyProtection="1">
      <alignment horizontal="center" vertical="center" wrapText="1"/>
      <protection hidden="1"/>
    </xf>
    <xf numFmtId="0" fontId="20" fillId="0" borderId="0" xfId="166" applyFont="1" applyAlignment="1">
      <alignment horizontal="center" vertical="center" wrapText="1"/>
    </xf>
    <xf numFmtId="0" fontId="58" fillId="0" borderId="0" xfId="166" applyFont="1" applyAlignment="1" applyProtection="1">
      <alignment horizontal="center" vertical="center" wrapText="1"/>
      <protection hidden="1"/>
    </xf>
    <xf numFmtId="0" fontId="29" fillId="0" borderId="0" xfId="166" applyFont="1" applyAlignment="1" applyProtection="1">
      <alignment horizontal="left" vertical="center" indent="1"/>
      <protection hidden="1"/>
    </xf>
    <xf numFmtId="193" fontId="32" fillId="25" borderId="77" xfId="166" applyNumberFormat="1" applyFont="1" applyFill="1" applyBorder="1" applyAlignment="1" applyProtection="1">
      <alignment horizontal="right" vertical="center" shrinkToFit="1"/>
      <protection hidden="1"/>
    </xf>
    <xf numFmtId="0" fontId="44" fillId="23" borderId="0" xfId="166" applyFont="1" applyFill="1" applyAlignment="1" applyProtection="1">
      <alignment horizontal="center" vertical="center" wrapText="1"/>
      <protection hidden="1"/>
    </xf>
    <xf numFmtId="0" fontId="23" fillId="23" borderId="0" xfId="166" applyFont="1" applyFill="1" applyAlignment="1" applyProtection="1">
      <alignment horizontal="center" vertical="center" wrapText="1"/>
      <protection hidden="1"/>
    </xf>
    <xf numFmtId="0" fontId="20" fillId="23" borderId="0" xfId="166" applyFont="1" applyFill="1" applyAlignment="1">
      <alignment horizontal="center" vertical="center" wrapText="1"/>
    </xf>
    <xf numFmtId="0" fontId="57" fillId="0" borderId="0" xfId="166" applyFont="1" applyAlignment="1" applyProtection="1">
      <alignment horizontal="left" vertical="center" indent="1"/>
      <protection hidden="1"/>
    </xf>
    <xf numFmtId="194" fontId="21" fillId="19" borderId="2" xfId="166" applyNumberFormat="1" applyFont="1" applyFill="1" applyBorder="1" applyAlignment="1" applyProtection="1">
      <alignment horizontal="right" vertical="center" shrinkToFit="1"/>
      <protection locked="0" hidden="1"/>
    </xf>
    <xf numFmtId="194" fontId="21" fillId="2" borderId="0" xfId="166" applyNumberFormat="1" applyFont="1" applyFill="1" applyAlignment="1" applyProtection="1">
      <alignment horizontal="right" vertical="center" shrinkToFit="1"/>
      <protection hidden="1"/>
    </xf>
    <xf numFmtId="194" fontId="21" fillId="2" borderId="4" xfId="166" applyNumberFormat="1" applyFont="1" applyFill="1" applyBorder="1" applyAlignment="1" applyProtection="1">
      <alignment horizontal="right" vertical="center" shrinkToFit="1"/>
      <protection hidden="1"/>
    </xf>
    <xf numFmtId="194" fontId="21" fillId="2" borderId="56" xfId="166" applyNumberFormat="1" applyFont="1" applyFill="1" applyBorder="1" applyAlignment="1" applyProtection="1">
      <alignment horizontal="right" vertical="center" shrinkToFit="1"/>
      <protection hidden="1"/>
    </xf>
    <xf numFmtId="194" fontId="21" fillId="19" borderId="76" xfId="166" applyNumberFormat="1" applyFont="1" applyFill="1" applyBorder="1" applyAlignment="1" applyProtection="1">
      <alignment horizontal="right" vertical="center" shrinkToFit="1"/>
      <protection locked="0" hidden="1"/>
    </xf>
    <xf numFmtId="194" fontId="21" fillId="19" borderId="63" xfId="166" applyNumberFormat="1" applyFont="1" applyFill="1" applyBorder="1" applyAlignment="1" applyProtection="1">
      <alignment horizontal="right" vertical="center" shrinkToFit="1"/>
      <protection locked="0" hidden="1"/>
    </xf>
    <xf numFmtId="0" fontId="27" fillId="39" borderId="90" xfId="166" applyFont="1" applyFill="1" applyBorder="1" applyAlignment="1" applyProtection="1">
      <alignment horizontal="right" vertical="center"/>
      <protection hidden="1"/>
    </xf>
    <xf numFmtId="1" fontId="23" fillId="39" borderId="91" xfId="166" applyNumberFormat="1" applyFont="1" applyFill="1" applyBorder="1" applyAlignment="1" applyProtection="1">
      <alignment horizontal="center" vertical="center" wrapText="1"/>
      <protection hidden="1"/>
    </xf>
    <xf numFmtId="1" fontId="21" fillId="39" borderId="91" xfId="166" applyNumberFormat="1" applyFont="1" applyFill="1" applyBorder="1" applyAlignment="1" applyProtection="1">
      <alignment horizontal="right" vertical="center" wrapText="1"/>
      <protection hidden="1"/>
    </xf>
    <xf numFmtId="1" fontId="30" fillId="39" borderId="91" xfId="166" applyNumberFormat="1" applyFont="1" applyFill="1" applyBorder="1" applyAlignment="1" applyProtection="1">
      <alignment horizontal="center" vertical="center" wrapText="1"/>
      <protection hidden="1"/>
    </xf>
    <xf numFmtId="0" fontId="27" fillId="39" borderId="89" xfId="166" applyFont="1" applyFill="1" applyBorder="1" applyAlignment="1" applyProtection="1">
      <alignment horizontal="right" vertical="center"/>
      <protection hidden="1"/>
    </xf>
    <xf numFmtId="0" fontId="47" fillId="41" borderId="94" xfId="166" applyFont="1" applyFill="1" applyBorder="1" applyAlignment="1" applyProtection="1">
      <alignment horizontal="right" vertical="center"/>
      <protection hidden="1"/>
    </xf>
    <xf numFmtId="0" fontId="27" fillId="40" borderId="94" xfId="166" applyFont="1" applyFill="1" applyBorder="1" applyAlignment="1" applyProtection="1">
      <alignment horizontal="right" vertical="center"/>
      <protection hidden="1"/>
    </xf>
    <xf numFmtId="0" fontId="26" fillId="2" borderId="95" xfId="166" applyFont="1" applyFill="1" applyBorder="1" applyAlignment="1" applyProtection="1">
      <alignment horizontal="right" vertical="center"/>
      <protection hidden="1"/>
    </xf>
    <xf numFmtId="0" fontId="26" fillId="2" borderId="96" xfId="166" applyFont="1" applyFill="1" applyBorder="1" applyAlignment="1" applyProtection="1">
      <alignment horizontal="right" vertical="center"/>
      <protection hidden="1"/>
    </xf>
    <xf numFmtId="193" fontId="32" fillId="25" borderId="68" xfId="166" applyNumberFormat="1" applyFont="1" applyFill="1" applyBorder="1" applyAlignment="1" applyProtection="1">
      <alignment horizontal="right" vertical="center" shrinkToFit="1"/>
      <protection hidden="1"/>
    </xf>
    <xf numFmtId="1" fontId="21" fillId="19" borderId="71" xfId="166" applyNumberFormat="1" applyFont="1" applyFill="1" applyBorder="1" applyAlignment="1" applyProtection="1">
      <alignment horizontal="center" vertical="center" shrinkToFit="1"/>
      <protection locked="0" hidden="1"/>
    </xf>
    <xf numFmtId="1" fontId="21" fillId="19" borderId="72" xfId="166" applyNumberFormat="1" applyFont="1" applyFill="1" applyBorder="1" applyAlignment="1" applyProtection="1">
      <alignment horizontal="center" vertical="center" shrinkToFit="1"/>
      <protection locked="0" hidden="1"/>
    </xf>
    <xf numFmtId="1" fontId="21" fillId="19" borderId="73" xfId="166" applyNumberFormat="1" applyFont="1" applyFill="1" applyBorder="1" applyAlignment="1" applyProtection="1">
      <alignment horizontal="center" vertical="center" shrinkToFit="1"/>
      <protection locked="0" hidden="1"/>
    </xf>
    <xf numFmtId="166" fontId="21" fillId="2" borderId="0" xfId="166" applyNumberFormat="1" applyFont="1" applyFill="1" applyAlignment="1" applyProtection="1">
      <alignment horizontal="right" vertical="center" shrinkToFit="1"/>
      <protection hidden="1"/>
    </xf>
    <xf numFmtId="166" fontId="21" fillId="2" borderId="17" xfId="166" applyNumberFormat="1" applyFont="1" applyFill="1" applyBorder="1" applyAlignment="1" applyProtection="1">
      <alignment horizontal="right" vertical="center" shrinkToFit="1"/>
      <protection hidden="1"/>
    </xf>
    <xf numFmtId="166" fontId="21" fillId="2" borderId="56" xfId="166" applyNumberFormat="1" applyFont="1" applyFill="1" applyBorder="1" applyAlignment="1" applyProtection="1">
      <alignment horizontal="right" vertical="center" shrinkToFit="1"/>
      <protection hidden="1"/>
    </xf>
    <xf numFmtId="192" fontId="26" fillId="19" borderId="2" xfId="163" applyNumberFormat="1" applyFont="1" applyFill="1" applyBorder="1" applyAlignment="1" applyProtection="1">
      <alignment horizontal="right" vertical="center" shrinkToFit="1"/>
      <protection locked="0" hidden="1"/>
    </xf>
    <xf numFmtId="192" fontId="21" fillId="2" borderId="0" xfId="163" applyNumberFormat="1" applyFont="1" applyFill="1" applyBorder="1" applyAlignment="1" applyProtection="1">
      <alignment horizontal="right" vertical="center" shrinkToFit="1"/>
      <protection hidden="1"/>
    </xf>
    <xf numFmtId="192" fontId="21" fillId="2" borderId="4" xfId="163" applyNumberFormat="1" applyFont="1" applyFill="1" applyBorder="1" applyAlignment="1" applyProtection="1">
      <alignment horizontal="right" vertical="center" shrinkToFit="1"/>
      <protection hidden="1"/>
    </xf>
    <xf numFmtId="192" fontId="21" fillId="2" borderId="56" xfId="163" applyNumberFormat="1" applyFont="1" applyFill="1" applyBorder="1" applyAlignment="1" applyProtection="1">
      <alignment horizontal="right" vertical="center" shrinkToFit="1"/>
      <protection hidden="1"/>
    </xf>
    <xf numFmtId="165" fontId="21" fillId="2" borderId="57" xfId="166" applyNumberFormat="1" applyFont="1" applyFill="1" applyBorder="1" applyAlignment="1" applyProtection="1">
      <alignment horizontal="right" vertical="center" shrinkToFit="1"/>
      <protection hidden="1"/>
    </xf>
    <xf numFmtId="165" fontId="21" fillId="2" borderId="60" xfId="166" applyNumberFormat="1" applyFont="1" applyFill="1" applyBorder="1" applyAlignment="1" applyProtection="1">
      <alignment horizontal="right" vertical="center" shrinkToFit="1"/>
      <protection hidden="1"/>
    </xf>
    <xf numFmtId="165" fontId="21" fillId="2" borderId="59" xfId="166" applyNumberFormat="1" applyFont="1" applyFill="1" applyBorder="1" applyAlignment="1" applyProtection="1">
      <alignment horizontal="right" vertical="center" shrinkToFit="1"/>
      <protection hidden="1"/>
    </xf>
    <xf numFmtId="0" fontId="53" fillId="0" borderId="0" xfId="166" applyFont="1" applyAlignment="1">
      <alignment horizontal="center" vertical="center" shrinkToFit="1"/>
    </xf>
    <xf numFmtId="1" fontId="21" fillId="19" borderId="74" xfId="166" applyNumberFormat="1" applyFont="1" applyFill="1" applyBorder="1" applyAlignment="1" applyProtection="1">
      <alignment horizontal="center" vertical="center" shrinkToFit="1"/>
      <protection locked="0" hidden="1"/>
    </xf>
    <xf numFmtId="1" fontId="21" fillId="19" borderId="68" xfId="166" applyNumberFormat="1" applyFont="1" applyFill="1" applyBorder="1" applyAlignment="1" applyProtection="1">
      <alignment horizontal="center" vertical="center" shrinkToFit="1"/>
      <protection locked="0" hidden="1"/>
    </xf>
    <xf numFmtId="1" fontId="21" fillId="19" borderId="66" xfId="166" applyNumberFormat="1" applyFont="1" applyFill="1" applyBorder="1" applyAlignment="1" applyProtection="1">
      <alignment horizontal="center" vertical="center" shrinkToFit="1"/>
      <protection locked="0" hidden="1"/>
    </xf>
    <xf numFmtId="1" fontId="21" fillId="19" borderId="69" xfId="166" applyNumberFormat="1" applyFont="1" applyFill="1" applyBorder="1" applyAlignment="1" applyProtection="1">
      <alignment horizontal="center" vertical="center" shrinkToFit="1"/>
      <protection locked="0" hidden="1"/>
    </xf>
    <xf numFmtId="166" fontId="21" fillId="25" borderId="75" xfId="166" applyNumberFormat="1" applyFont="1" applyFill="1" applyBorder="1" applyAlignment="1" applyProtection="1">
      <alignment horizontal="right" vertical="center" shrinkToFit="1"/>
      <protection hidden="1"/>
    </xf>
    <xf numFmtId="166" fontId="21" fillId="25" borderId="0" xfId="166" applyNumberFormat="1" applyFont="1" applyFill="1" applyAlignment="1" applyProtection="1">
      <alignment horizontal="right" vertical="center" shrinkToFit="1"/>
      <protection hidden="1"/>
    </xf>
    <xf numFmtId="166" fontId="21" fillId="25" borderId="5" xfId="166" applyNumberFormat="1" applyFont="1" applyFill="1" applyBorder="1" applyAlignment="1" applyProtection="1">
      <alignment horizontal="right" vertical="center" shrinkToFit="1"/>
      <protection hidden="1"/>
    </xf>
    <xf numFmtId="166" fontId="21" fillId="25" borderId="62" xfId="166" applyNumberFormat="1" applyFont="1" applyFill="1" applyBorder="1" applyAlignment="1" applyProtection="1">
      <alignment horizontal="right" vertical="center" shrinkToFit="1"/>
      <protection hidden="1"/>
    </xf>
    <xf numFmtId="166" fontId="21" fillId="25" borderId="17" xfId="166" applyNumberFormat="1" applyFont="1" applyFill="1" applyBorder="1" applyAlignment="1" applyProtection="1">
      <alignment horizontal="right" vertical="center" shrinkToFit="1"/>
      <protection hidden="1"/>
    </xf>
    <xf numFmtId="166" fontId="22" fillId="25" borderId="75" xfId="166" applyNumberFormat="1" applyFont="1" applyFill="1" applyBorder="1" applyAlignment="1" applyProtection="1">
      <alignment horizontal="right" vertical="center" shrinkToFit="1"/>
      <protection hidden="1"/>
    </xf>
    <xf numFmtId="166" fontId="22" fillId="25" borderId="0" xfId="166" applyNumberFormat="1" applyFont="1" applyFill="1" applyAlignment="1" applyProtection="1">
      <alignment horizontal="right" vertical="center" shrinkToFit="1"/>
      <protection hidden="1"/>
    </xf>
    <xf numFmtId="166" fontId="22" fillId="25" borderId="17" xfId="166" applyNumberFormat="1" applyFont="1" applyFill="1" applyBorder="1" applyAlignment="1" applyProtection="1">
      <alignment horizontal="right" vertical="center" shrinkToFit="1"/>
      <protection hidden="1"/>
    </xf>
    <xf numFmtId="166" fontId="22" fillId="25" borderId="62" xfId="166" applyNumberFormat="1" applyFont="1" applyFill="1" applyBorder="1" applyAlignment="1" applyProtection="1">
      <alignment horizontal="right" vertical="center" shrinkToFit="1"/>
      <protection hidden="1"/>
    </xf>
    <xf numFmtId="192" fontId="26" fillId="19" borderId="76" xfId="163" applyNumberFormat="1" applyFont="1" applyFill="1" applyBorder="1" applyAlignment="1" applyProtection="1">
      <alignment horizontal="right" vertical="center" shrinkToFit="1"/>
      <protection locked="0" hidden="1"/>
    </xf>
    <xf numFmtId="192" fontId="26" fillId="19" borderId="63" xfId="163" applyNumberFormat="1" applyFont="1" applyFill="1" applyBorder="1" applyAlignment="1" applyProtection="1">
      <alignment horizontal="right" vertical="center" shrinkToFit="1"/>
      <protection locked="0" hidden="1"/>
    </xf>
    <xf numFmtId="192" fontId="21" fillId="25" borderId="75" xfId="163" applyNumberFormat="1" applyFont="1" applyFill="1" applyBorder="1" applyAlignment="1" applyProtection="1">
      <alignment horizontal="right" vertical="center" shrinkToFit="1"/>
      <protection hidden="1"/>
    </xf>
    <xf numFmtId="192" fontId="21" fillId="25" borderId="0" xfId="163" applyNumberFormat="1" applyFont="1" applyFill="1" applyBorder="1" applyAlignment="1" applyProtection="1">
      <alignment horizontal="right" vertical="center" shrinkToFit="1"/>
      <protection hidden="1"/>
    </xf>
    <xf numFmtId="192" fontId="21" fillId="25" borderId="17" xfId="163" applyNumberFormat="1" applyFont="1" applyFill="1" applyBorder="1" applyAlignment="1" applyProtection="1">
      <alignment horizontal="right" vertical="center" shrinkToFit="1"/>
      <protection hidden="1"/>
    </xf>
    <xf numFmtId="192" fontId="21" fillId="25" borderId="62" xfId="163" applyNumberFormat="1" applyFont="1" applyFill="1" applyBorder="1" applyAlignment="1" applyProtection="1">
      <alignment horizontal="right" vertical="center" shrinkToFit="1"/>
      <protection hidden="1"/>
    </xf>
    <xf numFmtId="193" fontId="22" fillId="39" borderId="91" xfId="166" applyNumberFormat="1" applyFont="1" applyFill="1" applyBorder="1" applyAlignment="1" applyProtection="1">
      <alignment horizontal="right" vertical="center" shrinkToFit="1"/>
      <protection hidden="1"/>
    </xf>
    <xf numFmtId="193" fontId="22" fillId="39" borderId="93" xfId="166" applyNumberFormat="1" applyFont="1" applyFill="1" applyBorder="1" applyAlignment="1" applyProtection="1">
      <alignment horizontal="right" vertical="center" shrinkToFit="1"/>
      <protection hidden="1"/>
    </xf>
    <xf numFmtId="166" fontId="21" fillId="0" borderId="0" xfId="166" applyNumberFormat="1" applyFont="1" applyAlignment="1" applyProtection="1">
      <alignment horizontal="right" vertical="center" shrinkToFit="1"/>
      <protection hidden="1"/>
    </xf>
    <xf numFmtId="166" fontId="22" fillId="39" borderId="91" xfId="166" applyNumberFormat="1" applyFont="1" applyFill="1" applyBorder="1" applyAlignment="1" applyProtection="1">
      <alignment horizontal="right" vertical="center" shrinkToFit="1"/>
      <protection hidden="1"/>
    </xf>
    <xf numFmtId="166" fontId="22" fillId="39" borderId="93" xfId="166" applyNumberFormat="1" applyFont="1" applyFill="1" applyBorder="1" applyAlignment="1" applyProtection="1">
      <alignment horizontal="right" vertical="center" shrinkToFit="1"/>
      <protection hidden="1"/>
    </xf>
    <xf numFmtId="0" fontId="26" fillId="3" borderId="98" xfId="166" applyFont="1" applyFill="1" applyBorder="1" applyAlignment="1" applyProtection="1">
      <alignment horizontal="right" vertical="center"/>
      <protection hidden="1"/>
    </xf>
    <xf numFmtId="189" fontId="27" fillId="0" borderId="22" xfId="166" applyNumberFormat="1" applyFont="1" applyBorder="1" applyAlignment="1" applyProtection="1">
      <alignment horizontal="right" vertical="center" wrapText="1"/>
      <protection hidden="1"/>
    </xf>
    <xf numFmtId="189" fontId="27" fillId="0" borderId="14" xfId="166" applyNumberFormat="1" applyFont="1" applyBorder="1" applyAlignment="1" applyProtection="1">
      <alignment horizontal="right" vertical="center" wrapText="1"/>
      <protection hidden="1"/>
    </xf>
    <xf numFmtId="1" fontId="35" fillId="0" borderId="0" xfId="166" applyNumberFormat="1" applyFont="1" applyAlignment="1" applyProtection="1">
      <alignment horizontal="center" vertical="center" wrapText="1"/>
      <protection hidden="1"/>
    </xf>
    <xf numFmtId="1" fontId="35" fillId="0" borderId="0" xfId="166" applyNumberFormat="1" applyFont="1" applyAlignment="1" applyProtection="1">
      <alignment horizontal="right" vertical="center" wrapText="1"/>
      <protection hidden="1"/>
    </xf>
    <xf numFmtId="1" fontId="66" fillId="0" borderId="0" xfId="166" applyNumberFormat="1" applyFont="1" applyAlignment="1" applyProtection="1">
      <alignment horizontal="center" vertical="center" wrapText="1"/>
      <protection hidden="1"/>
    </xf>
    <xf numFmtId="0" fontId="27" fillId="39" borderId="91" xfId="166" applyFont="1" applyFill="1" applyBorder="1" applyAlignment="1" applyProtection="1">
      <alignment horizontal="right" vertical="center"/>
      <protection hidden="1"/>
    </xf>
    <xf numFmtId="0" fontId="22" fillId="0" borderId="0" xfId="166" applyFont="1" applyAlignment="1">
      <alignment horizontal="right" vertical="center" wrapText="1"/>
    </xf>
    <xf numFmtId="0" fontId="21" fillId="0" borderId="0" xfId="166" applyFont="1" applyAlignment="1">
      <alignment vertical="center" wrapText="1"/>
    </xf>
    <xf numFmtId="165" fontId="21" fillId="0" borderId="0" xfId="166" applyNumberFormat="1" applyFont="1" applyAlignment="1">
      <alignment vertical="center" wrapText="1"/>
    </xf>
    <xf numFmtId="0" fontId="53" fillId="0" borderId="0" xfId="166" applyFont="1" applyAlignment="1">
      <alignment horizontal="center" wrapText="1"/>
    </xf>
    <xf numFmtId="0" fontId="53" fillId="0" borderId="0" xfId="166" applyFont="1" applyAlignment="1">
      <alignment vertical="center" wrapText="1"/>
    </xf>
    <xf numFmtId="0" fontId="27" fillId="6" borderId="14" xfId="166" applyFont="1" applyFill="1" applyBorder="1" applyAlignment="1" applyProtection="1">
      <alignment horizontal="right" wrapText="1"/>
      <protection hidden="1"/>
    </xf>
    <xf numFmtId="0" fontId="19" fillId="0" borderId="23" xfId="166" applyFont="1" applyBorder="1" applyAlignment="1" applyProtection="1">
      <alignment horizontal="left" vertical="center"/>
      <protection hidden="1"/>
    </xf>
    <xf numFmtId="0" fontId="27" fillId="6" borderId="22" xfId="166" applyFont="1" applyFill="1" applyBorder="1" applyAlignment="1" applyProtection="1">
      <alignment horizontal="right" wrapText="1"/>
      <protection hidden="1"/>
    </xf>
    <xf numFmtId="170" fontId="50" fillId="27" borderId="14" xfId="0" applyNumberFormat="1" applyFont="1" applyFill="1" applyBorder="1" applyAlignment="1" applyProtection="1">
      <alignment horizontal="center" wrapText="1"/>
      <protection hidden="1"/>
    </xf>
    <xf numFmtId="170" fontId="50" fillId="28" borderId="14" xfId="0" applyNumberFormat="1" applyFont="1" applyFill="1" applyBorder="1" applyAlignment="1" applyProtection="1">
      <alignment horizontal="center" wrapText="1"/>
      <protection hidden="1"/>
    </xf>
    <xf numFmtId="170" fontId="50" fillId="29" borderId="14" xfId="0" applyNumberFormat="1" applyFont="1" applyFill="1" applyBorder="1" applyAlignment="1" applyProtection="1">
      <alignment horizontal="center" wrapText="1"/>
      <protection hidden="1"/>
    </xf>
    <xf numFmtId="170" fontId="50" fillId="30" borderId="14" xfId="0" applyNumberFormat="1" applyFont="1" applyFill="1" applyBorder="1" applyAlignment="1" applyProtection="1">
      <alignment horizontal="center" wrapText="1"/>
      <protection hidden="1"/>
    </xf>
    <xf numFmtId="170" fontId="50" fillId="31" borderId="14" xfId="0" applyNumberFormat="1" applyFont="1" applyFill="1" applyBorder="1" applyAlignment="1" applyProtection="1">
      <alignment horizontal="center" wrapText="1"/>
      <protection hidden="1"/>
    </xf>
    <xf numFmtId="170" fontId="50" fillId="32" borderId="14" xfId="0" applyNumberFormat="1" applyFont="1" applyFill="1" applyBorder="1" applyAlignment="1" applyProtection="1">
      <alignment horizontal="center" wrapText="1"/>
      <protection hidden="1"/>
    </xf>
    <xf numFmtId="170" fontId="50" fillId="33" borderId="14" xfId="0" applyNumberFormat="1" applyFont="1" applyFill="1" applyBorder="1" applyAlignment="1" applyProtection="1">
      <alignment horizontal="center" wrapText="1"/>
      <protection hidden="1"/>
    </xf>
    <xf numFmtId="170" fontId="50" fillId="34" borderId="14" xfId="0" applyNumberFormat="1" applyFont="1" applyFill="1" applyBorder="1" applyAlignment="1" applyProtection="1">
      <alignment horizontal="center" wrapText="1"/>
      <protection hidden="1"/>
    </xf>
    <xf numFmtId="170" fontId="26" fillId="35" borderId="14" xfId="0" applyNumberFormat="1" applyFont="1" applyFill="1" applyBorder="1" applyAlignment="1" applyProtection="1">
      <alignment horizontal="center" wrapText="1"/>
      <protection hidden="1"/>
    </xf>
    <xf numFmtId="170" fontId="22" fillId="7" borderId="0" xfId="161" applyNumberFormat="1" applyFont="1" applyFill="1" applyAlignment="1" applyProtection="1">
      <alignment horizontal="right" vertical="center"/>
      <protection hidden="1"/>
    </xf>
    <xf numFmtId="0" fontId="22" fillId="7" borderId="0" xfId="161" applyFont="1" applyFill="1" applyAlignment="1" applyProtection="1">
      <alignment horizontal="center" vertical="center" wrapText="1"/>
      <protection hidden="1"/>
    </xf>
    <xf numFmtId="170" fontId="22" fillId="7" borderId="0" xfId="161" applyNumberFormat="1" applyFont="1" applyFill="1" applyAlignment="1" applyProtection="1">
      <alignment horizontal="center" vertical="center"/>
      <protection hidden="1"/>
    </xf>
    <xf numFmtId="0" fontId="22" fillId="7" borderId="0" xfId="161" applyFont="1" applyFill="1" applyAlignment="1" applyProtection="1">
      <alignment horizontal="center" vertical="center"/>
      <protection hidden="1"/>
    </xf>
    <xf numFmtId="177" fontId="22" fillId="7" borderId="0" xfId="161" applyNumberFormat="1" applyFont="1" applyFill="1" applyAlignment="1" applyProtection="1">
      <alignment horizontal="center" vertical="center" wrapText="1"/>
      <protection hidden="1"/>
    </xf>
    <xf numFmtId="0" fontId="22" fillId="7" borderId="0" xfId="161" applyFont="1" applyFill="1" applyAlignment="1" applyProtection="1">
      <alignment horizontal="right" vertical="center"/>
      <protection hidden="1"/>
    </xf>
    <xf numFmtId="165" fontId="22" fillId="7" borderId="0" xfId="163" applyNumberFormat="1" applyFont="1" applyFill="1" applyAlignment="1" applyProtection="1">
      <alignment horizontal="right" vertical="center" wrapText="1"/>
      <protection hidden="1"/>
    </xf>
    <xf numFmtId="170" fontId="56" fillId="0" borderId="0" xfId="161" applyNumberFormat="1" applyFont="1" applyAlignment="1" applyProtection="1">
      <alignment horizontal="right" vertical="center"/>
      <protection hidden="1"/>
    </xf>
    <xf numFmtId="0" fontId="20" fillId="0" borderId="0" xfId="161" applyFont="1" applyAlignment="1" applyProtection="1">
      <alignment horizontal="center" vertical="center" wrapText="1"/>
      <protection hidden="1"/>
    </xf>
    <xf numFmtId="170" fontId="44" fillId="0" borderId="0" xfId="161" applyNumberFormat="1" applyFont="1" applyAlignment="1" applyProtection="1">
      <alignment horizontal="center" vertical="center"/>
      <protection hidden="1"/>
    </xf>
    <xf numFmtId="0" fontId="56" fillId="0" borderId="0" xfId="161" applyFont="1" applyAlignment="1" applyProtection="1">
      <alignment horizontal="center" vertical="center"/>
      <protection hidden="1"/>
    </xf>
    <xf numFmtId="177" fontId="20" fillId="0" borderId="0" xfId="161" applyNumberFormat="1" applyFont="1" applyAlignment="1" applyProtection="1">
      <alignment horizontal="center" vertical="center" wrapText="1"/>
      <protection hidden="1"/>
    </xf>
    <xf numFmtId="0" fontId="40" fillId="2" borderId="1" xfId="161" applyFont="1" applyFill="1" applyBorder="1" applyAlignment="1" applyProtection="1">
      <alignment horizontal="right" vertical="center"/>
      <protection hidden="1"/>
    </xf>
    <xf numFmtId="0" fontId="40" fillId="2" borderId="0" xfId="161" applyFont="1" applyFill="1" applyAlignment="1" applyProtection="1">
      <alignment horizontal="right" vertical="center"/>
      <protection hidden="1"/>
    </xf>
    <xf numFmtId="0" fontId="68" fillId="0" borderId="0" xfId="161" applyFont="1" applyAlignment="1" applyProtection="1">
      <alignment horizontal="right" vertical="center"/>
      <protection hidden="1"/>
    </xf>
    <xf numFmtId="169" fontId="69" fillId="0" borderId="0" xfId="161" applyNumberFormat="1" applyFont="1" applyAlignment="1" applyProtection="1">
      <alignment horizontal="right" vertical="center"/>
      <protection hidden="1"/>
    </xf>
    <xf numFmtId="0" fontId="70" fillId="3" borderId="1" xfId="161" applyFont="1" applyFill="1" applyBorder="1" applyAlignment="1" applyProtection="1">
      <alignment horizontal="right" vertical="center"/>
      <protection hidden="1"/>
    </xf>
    <xf numFmtId="0" fontId="40" fillId="0" borderId="0" xfId="161" applyFont="1" applyAlignment="1" applyProtection="1">
      <alignment horizontal="right" vertical="center"/>
      <protection hidden="1"/>
    </xf>
    <xf numFmtId="0" fontId="34" fillId="0" borderId="0" xfId="161" applyFont="1" applyAlignment="1" applyProtection="1">
      <alignment horizontal="right" vertical="center"/>
      <protection hidden="1"/>
    </xf>
    <xf numFmtId="169" fontId="34" fillId="0" borderId="0" xfId="161" applyNumberFormat="1" applyFont="1" applyAlignment="1" applyProtection="1">
      <alignment horizontal="right" vertical="center" wrapText="1"/>
      <protection hidden="1"/>
    </xf>
    <xf numFmtId="0" fontId="28" fillId="0" borderId="0" xfId="161" applyFont="1" applyAlignment="1" applyProtection="1">
      <alignment vertical="center"/>
      <protection hidden="1"/>
    </xf>
    <xf numFmtId="0" fontId="33" fillId="7" borderId="6" xfId="161" applyFont="1" applyFill="1" applyBorder="1" applyAlignment="1" applyProtection="1">
      <alignment horizontal="right"/>
      <protection hidden="1"/>
    </xf>
    <xf numFmtId="0" fontId="33" fillId="7" borderId="6" xfId="161" applyFont="1" applyFill="1" applyBorder="1" applyAlignment="1" applyProtection="1">
      <alignment horizontal="right" wrapText="1"/>
      <protection hidden="1"/>
    </xf>
    <xf numFmtId="0" fontId="71" fillId="0" borderId="0" xfId="161" applyFont="1" applyAlignment="1" applyProtection="1">
      <alignment horizontal="right"/>
      <protection hidden="1"/>
    </xf>
    <xf numFmtId="170" fontId="71" fillId="0" borderId="0" xfId="0" applyNumberFormat="1" applyFont="1" applyAlignment="1" applyProtection="1">
      <alignment horizontal="right" wrapText="1"/>
      <protection hidden="1"/>
    </xf>
    <xf numFmtId="169" fontId="69" fillId="0" borderId="0" xfId="161" applyNumberFormat="1" applyFont="1" applyAlignment="1" applyProtection="1">
      <alignment horizontal="right" vertical="center" wrapText="1"/>
      <protection hidden="1"/>
    </xf>
    <xf numFmtId="0" fontId="40" fillId="41" borderId="0" xfId="161" applyFont="1" applyFill="1" applyAlignment="1" applyProtection="1">
      <alignment horizontal="right" vertical="center"/>
      <protection hidden="1"/>
    </xf>
    <xf numFmtId="0" fontId="70" fillId="3" borderId="0" xfId="161" applyFont="1" applyFill="1" applyAlignment="1" applyProtection="1">
      <alignment horizontal="right" vertical="center"/>
      <protection hidden="1"/>
    </xf>
    <xf numFmtId="166" fontId="40" fillId="41" borderId="0" xfId="161" applyNumberFormat="1" applyFont="1" applyFill="1" applyAlignment="1" applyProtection="1">
      <alignment horizontal="right" vertical="center" wrapText="1"/>
      <protection hidden="1"/>
    </xf>
    <xf numFmtId="0" fontId="24" fillId="0" borderId="0" xfId="161" applyFont="1" applyAlignment="1" applyProtection="1">
      <alignment horizontal="right"/>
      <protection hidden="1"/>
    </xf>
    <xf numFmtId="169" fontId="70" fillId="0" borderId="0" xfId="161" applyNumberFormat="1" applyFont="1" applyAlignment="1" applyProtection="1">
      <alignment horizontal="right" vertical="center"/>
      <protection hidden="1"/>
    </xf>
    <xf numFmtId="169" fontId="22" fillId="6" borderId="0" xfId="161" applyNumberFormat="1" applyFont="1" applyFill="1" applyAlignment="1" applyProtection="1">
      <alignment horizontal="right" vertical="center"/>
      <protection hidden="1"/>
    </xf>
    <xf numFmtId="0" fontId="70" fillId="4" borderId="1" xfId="161" applyFont="1" applyFill="1" applyBorder="1" applyAlignment="1" applyProtection="1">
      <alignment horizontal="right" vertical="center"/>
      <protection hidden="1"/>
    </xf>
    <xf numFmtId="0" fontId="70" fillId="4" borderId="0" xfId="161" applyFont="1" applyFill="1" applyAlignment="1" applyProtection="1">
      <alignment horizontal="right" vertical="center" wrapText="1"/>
      <protection hidden="1"/>
    </xf>
    <xf numFmtId="0" fontId="70" fillId="0" borderId="0" xfId="161" applyFont="1" applyAlignment="1" applyProtection="1">
      <alignment horizontal="right" vertical="center"/>
      <protection hidden="1"/>
    </xf>
    <xf numFmtId="49" fontId="22" fillId="0" borderId="0" xfId="161" applyNumberFormat="1" applyFont="1" applyAlignment="1" applyProtection="1">
      <alignment horizontal="left"/>
      <protection hidden="1"/>
    </xf>
    <xf numFmtId="49" fontId="21" fillId="0" borderId="0" xfId="161" applyNumberFormat="1" applyFont="1" applyAlignment="1" applyProtection="1">
      <alignment horizontal="left" vertical="center" wrapText="1"/>
      <protection hidden="1"/>
    </xf>
    <xf numFmtId="49" fontId="26" fillId="43" borderId="33" xfId="161" applyNumberFormat="1" applyFont="1" applyFill="1" applyBorder="1" applyAlignment="1" applyProtection="1">
      <alignment horizontal="left" vertical="center" wrapText="1"/>
      <protection hidden="1"/>
    </xf>
    <xf numFmtId="49" fontId="26" fillId="0" borderId="22" xfId="161" applyNumberFormat="1" applyFont="1" applyBorder="1" applyAlignment="1" applyProtection="1">
      <alignment horizontal="left" vertical="top" wrapText="1"/>
      <protection hidden="1"/>
    </xf>
    <xf numFmtId="49" fontId="23" fillId="0" borderId="0" xfId="161" applyNumberFormat="1" applyFont="1" applyAlignment="1" applyProtection="1">
      <alignment horizontal="left" vertical="top" wrapText="1"/>
      <protection hidden="1"/>
    </xf>
    <xf numFmtId="49" fontId="27" fillId="44" borderId="44" xfId="161" applyNumberFormat="1" applyFont="1" applyFill="1" applyBorder="1" applyAlignment="1" applyProtection="1">
      <alignment horizontal="left" vertical="top" wrapText="1"/>
      <protection hidden="1"/>
    </xf>
    <xf numFmtId="49" fontId="26" fillId="0" borderId="26" xfId="161" applyNumberFormat="1" applyFont="1" applyBorder="1" applyAlignment="1" applyProtection="1">
      <alignment horizontal="left" vertical="top" wrapText="1"/>
      <protection hidden="1"/>
    </xf>
    <xf numFmtId="49" fontId="26" fillId="0" borderId="36" xfId="161" applyNumberFormat="1" applyFont="1" applyBorder="1" applyAlignment="1" applyProtection="1">
      <alignment horizontal="left" vertical="top" wrapText="1"/>
      <protection hidden="1"/>
    </xf>
    <xf numFmtId="49" fontId="21" fillId="0" borderId="0" xfId="161" applyNumberFormat="1" applyFont="1" applyAlignment="1" applyProtection="1">
      <alignment horizontal="left" vertical="top" wrapText="1"/>
      <protection hidden="1"/>
    </xf>
    <xf numFmtId="49" fontId="28" fillId="0" borderId="0" xfId="161" applyNumberFormat="1" applyFont="1" applyAlignment="1" applyProtection="1">
      <alignment horizontal="right"/>
      <protection hidden="1"/>
    </xf>
    <xf numFmtId="49" fontId="22" fillId="0" borderId="0" xfId="161" applyNumberFormat="1" applyFont="1" applyAlignment="1" applyProtection="1">
      <alignment horizontal="right" vertical="center"/>
      <protection hidden="1"/>
    </xf>
    <xf numFmtId="49" fontId="27" fillId="43" borderId="42" xfId="161" applyNumberFormat="1" applyFont="1" applyFill="1" applyBorder="1" applyAlignment="1" applyProtection="1">
      <alignment horizontal="right" vertical="center"/>
      <protection hidden="1"/>
    </xf>
    <xf numFmtId="49" fontId="26" fillId="3" borderId="32" xfId="161" applyNumberFormat="1" applyFont="1" applyFill="1" applyBorder="1" applyAlignment="1" applyProtection="1">
      <alignment horizontal="right" vertical="top"/>
      <protection hidden="1"/>
    </xf>
    <xf numFmtId="49" fontId="30" fillId="0" borderId="0" xfId="161" applyNumberFormat="1" applyFont="1" applyAlignment="1" applyProtection="1">
      <alignment horizontal="right" vertical="top"/>
      <protection hidden="1"/>
    </xf>
    <xf numFmtId="49" fontId="27" fillId="44" borderId="42" xfId="161" applyNumberFormat="1" applyFont="1" applyFill="1" applyBorder="1" applyAlignment="1" applyProtection="1">
      <alignment horizontal="right" vertical="top"/>
      <protection hidden="1"/>
    </xf>
    <xf numFmtId="49" fontId="26" fillId="2" borderId="27" xfId="161" applyNumberFormat="1" applyFont="1" applyFill="1" applyBorder="1" applyAlignment="1" applyProtection="1">
      <alignment horizontal="right" vertical="top"/>
      <protection hidden="1"/>
    </xf>
    <xf numFmtId="49" fontId="26" fillId="19" borderId="35" xfId="161" applyNumberFormat="1" applyFont="1" applyFill="1" applyBorder="1" applyAlignment="1" applyProtection="1">
      <alignment horizontal="right" vertical="top"/>
      <protection hidden="1"/>
    </xf>
    <xf numFmtId="49" fontId="22" fillId="0" borderId="0" xfId="161" applyNumberFormat="1" applyFont="1" applyAlignment="1" applyProtection="1">
      <alignment horizontal="right" vertical="top"/>
      <protection hidden="1"/>
    </xf>
    <xf numFmtId="169" fontId="68" fillId="0" borderId="6" xfId="161" applyNumberFormat="1" applyFont="1" applyBorder="1" applyAlignment="1" applyProtection="1">
      <alignment horizontal="right" vertical="center"/>
      <protection hidden="1"/>
    </xf>
    <xf numFmtId="0" fontId="22" fillId="0" borderId="0" xfId="161" applyFont="1" applyAlignment="1" applyProtection="1">
      <alignment horizontal="right" vertical="center" shrinkToFit="1"/>
      <protection hidden="1"/>
    </xf>
    <xf numFmtId="0" fontId="70" fillId="0" borderId="0" xfId="161" applyFont="1" applyAlignment="1" applyProtection="1">
      <alignment horizontal="right" vertical="center" shrinkToFit="1"/>
      <protection hidden="1"/>
    </xf>
    <xf numFmtId="0" fontId="70" fillId="4" borderId="0" xfId="161" applyFont="1" applyFill="1" applyAlignment="1" applyProtection="1">
      <alignment horizontal="right" vertical="center" shrinkToFit="1"/>
      <protection hidden="1"/>
    </xf>
    <xf numFmtId="165" fontId="40" fillId="0" borderId="0" xfId="163" applyNumberFormat="1" applyFont="1" applyBorder="1" applyAlignment="1" applyProtection="1">
      <alignment horizontal="right" vertical="center" shrinkToFit="1"/>
      <protection hidden="1"/>
    </xf>
    <xf numFmtId="170" fontId="26" fillId="35" borderId="40" xfId="0" applyNumberFormat="1" applyFont="1" applyFill="1" applyBorder="1" applyAlignment="1" applyProtection="1">
      <alignment horizontal="center" wrapText="1"/>
      <protection hidden="1"/>
    </xf>
    <xf numFmtId="0" fontId="52" fillId="6" borderId="22" xfId="166" applyFont="1" applyFill="1" applyBorder="1" applyAlignment="1">
      <alignment horizontal="right" wrapText="1"/>
    </xf>
    <xf numFmtId="0" fontId="33" fillId="7" borderId="43" xfId="161" applyFont="1" applyFill="1" applyBorder="1" applyAlignment="1" applyProtection="1">
      <alignment horizontal="right" wrapText="1"/>
      <protection hidden="1"/>
    </xf>
    <xf numFmtId="165" fontId="40" fillId="0" borderId="29" xfId="163" applyNumberFormat="1" applyFont="1" applyBorder="1" applyAlignment="1" applyProtection="1">
      <alignment horizontal="right" vertical="center" shrinkToFit="1"/>
      <protection hidden="1"/>
    </xf>
    <xf numFmtId="0" fontId="27" fillId="0" borderId="23" xfId="161" applyFont="1" applyBorder="1" applyAlignment="1" applyProtection="1">
      <alignment horizontal="right"/>
      <protection hidden="1"/>
    </xf>
    <xf numFmtId="0" fontId="33" fillId="7" borderId="31" xfId="161" applyFont="1" applyFill="1" applyBorder="1" applyAlignment="1" applyProtection="1">
      <alignment horizontal="right" wrapText="1"/>
      <protection hidden="1"/>
    </xf>
    <xf numFmtId="0" fontId="40" fillId="2" borderId="23" xfId="161" applyFont="1" applyFill="1" applyBorder="1" applyAlignment="1" applyProtection="1">
      <alignment horizontal="right" vertical="center"/>
      <protection hidden="1"/>
    </xf>
    <xf numFmtId="169" fontId="69" fillId="0" borderId="23" xfId="161" applyNumberFormat="1" applyFont="1" applyBorder="1" applyAlignment="1" applyProtection="1">
      <alignment horizontal="right" vertical="center"/>
      <protection hidden="1"/>
    </xf>
    <xf numFmtId="0" fontId="70" fillId="3" borderId="23" xfId="161" applyFont="1" applyFill="1" applyBorder="1" applyAlignment="1" applyProtection="1">
      <alignment horizontal="right" vertical="center"/>
      <protection hidden="1"/>
    </xf>
    <xf numFmtId="0" fontId="68" fillId="0" borderId="23" xfId="161" applyFont="1" applyBorder="1" applyAlignment="1" applyProtection="1">
      <alignment horizontal="right" vertical="center"/>
      <protection hidden="1"/>
    </xf>
    <xf numFmtId="0" fontId="40" fillId="0" borderId="23" xfId="161" applyFont="1" applyBorder="1" applyAlignment="1" applyProtection="1">
      <alignment horizontal="right" vertical="center"/>
      <protection hidden="1"/>
    </xf>
    <xf numFmtId="0" fontId="27" fillId="6" borderId="30" xfId="161" applyFont="1" applyFill="1" applyBorder="1" applyAlignment="1" applyProtection="1">
      <alignment horizontal="right" wrapText="1"/>
      <protection hidden="1"/>
    </xf>
    <xf numFmtId="0" fontId="53" fillId="0" borderId="100" xfId="166" applyFont="1" applyBorder="1" applyAlignment="1">
      <alignment horizontal="right" vertical="center" wrapText="1"/>
    </xf>
    <xf numFmtId="0" fontId="53" fillId="0" borderId="100" xfId="166" applyFont="1" applyBorder="1" applyAlignment="1">
      <alignment horizontal="center" vertical="center" wrapText="1"/>
    </xf>
    <xf numFmtId="0" fontId="0" fillId="0" borderId="100" xfId="0" applyBorder="1"/>
    <xf numFmtId="0" fontId="26" fillId="2" borderId="101" xfId="166" applyFont="1" applyFill="1" applyBorder="1" applyAlignment="1" applyProtection="1">
      <alignment horizontal="right" vertical="center"/>
      <protection hidden="1"/>
    </xf>
    <xf numFmtId="0" fontId="21" fillId="2" borderId="103" xfId="166" applyFont="1" applyFill="1" applyBorder="1" applyAlignment="1">
      <alignment horizontal="right" vertical="center" wrapText="1"/>
    </xf>
    <xf numFmtId="190" fontId="26" fillId="0" borderId="9" xfId="161" applyNumberFormat="1" applyFont="1" applyBorder="1" applyAlignment="1" applyProtection="1">
      <alignment horizontal="right" vertical="center" shrinkToFit="1"/>
      <protection hidden="1"/>
    </xf>
    <xf numFmtId="190" fontId="26" fillId="0" borderId="2" xfId="161" applyNumberFormat="1" applyFont="1" applyBorder="1" applyAlignment="1" applyProtection="1">
      <alignment horizontal="right" vertical="center" shrinkToFit="1"/>
      <protection hidden="1"/>
    </xf>
    <xf numFmtId="190" fontId="26" fillId="0" borderId="18" xfId="161" applyNumberFormat="1" applyFont="1" applyBorder="1" applyAlignment="1" applyProtection="1">
      <alignment horizontal="right" vertical="center" shrinkToFit="1"/>
      <protection hidden="1"/>
    </xf>
    <xf numFmtId="190" fontId="26" fillId="0" borderId="26" xfId="161" applyNumberFormat="1" applyFont="1" applyBorder="1" applyAlignment="1" applyProtection="1">
      <alignment horizontal="right" vertical="center" shrinkToFit="1"/>
      <protection hidden="1"/>
    </xf>
    <xf numFmtId="190" fontId="26" fillId="0" borderId="54" xfId="161" applyNumberFormat="1" applyFont="1" applyBorder="1" applyAlignment="1" applyProtection="1">
      <alignment horizontal="right" vertical="center" shrinkToFit="1"/>
      <protection hidden="1"/>
    </xf>
    <xf numFmtId="190" fontId="26" fillId="0" borderId="5" xfId="161" applyNumberFormat="1" applyFont="1" applyBorder="1" applyAlignment="1" applyProtection="1">
      <alignment horizontal="right" vertical="center" shrinkToFit="1"/>
      <protection hidden="1"/>
    </xf>
    <xf numFmtId="190" fontId="26" fillId="0" borderId="55" xfId="161" applyNumberFormat="1" applyFont="1" applyBorder="1" applyAlignment="1" applyProtection="1">
      <alignment horizontal="right" vertical="center" shrinkToFit="1"/>
      <protection hidden="1"/>
    </xf>
    <xf numFmtId="190" fontId="26" fillId="19" borderId="9" xfId="161" applyNumberFormat="1" applyFont="1" applyFill="1" applyBorder="1" applyAlignment="1" applyProtection="1">
      <alignment horizontal="right" vertical="center" shrinkToFit="1"/>
      <protection locked="0" hidden="1"/>
    </xf>
    <xf numFmtId="190" fontId="26" fillId="19" borderId="26" xfId="161" applyNumberFormat="1" applyFont="1" applyFill="1" applyBorder="1" applyAlignment="1" applyProtection="1">
      <alignment horizontal="right" vertical="center" shrinkToFit="1"/>
      <protection locked="0" hidden="1"/>
    </xf>
    <xf numFmtId="190" fontId="26" fillId="19" borderId="54" xfId="161" applyNumberFormat="1" applyFont="1" applyFill="1" applyBorder="1" applyAlignment="1" applyProtection="1">
      <alignment horizontal="right" vertical="center" shrinkToFit="1"/>
      <protection locked="0" hidden="1"/>
    </xf>
    <xf numFmtId="190" fontId="26" fillId="19" borderId="5" xfId="161" applyNumberFormat="1" applyFont="1" applyFill="1" applyBorder="1" applyAlignment="1" applyProtection="1">
      <alignment horizontal="right" vertical="center" shrinkToFit="1"/>
      <protection locked="0" hidden="1"/>
    </xf>
    <xf numFmtId="190" fontId="26" fillId="19" borderId="55" xfId="161" applyNumberFormat="1" applyFont="1" applyFill="1" applyBorder="1" applyAlignment="1" applyProtection="1">
      <alignment horizontal="right" vertical="center" shrinkToFit="1"/>
      <protection locked="0" hidden="1"/>
    </xf>
    <xf numFmtId="185" fontId="23" fillId="0" borderId="0" xfId="166" applyNumberFormat="1" applyFont="1" applyAlignment="1" applyProtection="1">
      <alignment horizontal="left" vertical="center"/>
      <protection hidden="1"/>
    </xf>
    <xf numFmtId="0" fontId="21" fillId="0" borderId="23" xfId="161" applyFont="1" applyBorder="1" applyAlignment="1" applyProtection="1">
      <alignment horizontal="right" vertical="center"/>
      <protection hidden="1"/>
    </xf>
    <xf numFmtId="0" fontId="22" fillId="7" borderId="23" xfId="161" applyFont="1" applyFill="1" applyBorder="1" applyAlignment="1" applyProtection="1">
      <alignment horizontal="right" vertical="center"/>
      <protection hidden="1"/>
    </xf>
    <xf numFmtId="0" fontId="40" fillId="41" borderId="104" xfId="161" applyFont="1" applyFill="1" applyBorder="1" applyAlignment="1" applyProtection="1">
      <alignment horizontal="right" vertical="center"/>
      <protection hidden="1"/>
    </xf>
    <xf numFmtId="166" fontId="40" fillId="41" borderId="1" xfId="161" applyNumberFormat="1" applyFont="1" applyFill="1" applyBorder="1" applyAlignment="1" applyProtection="1">
      <alignment horizontal="right" vertical="center" shrinkToFit="1"/>
      <protection hidden="1"/>
    </xf>
    <xf numFmtId="166" fontId="40" fillId="41" borderId="105" xfId="161" applyNumberFormat="1" applyFont="1" applyFill="1" applyBorder="1" applyAlignment="1" applyProtection="1">
      <alignment horizontal="right" vertical="center" shrinkToFit="1"/>
      <protection hidden="1"/>
    </xf>
    <xf numFmtId="0" fontId="33" fillId="7" borderId="34" xfId="161" applyFont="1" applyFill="1" applyBorder="1" applyAlignment="1" applyProtection="1">
      <alignment horizontal="right" wrapText="1"/>
      <protection hidden="1"/>
    </xf>
    <xf numFmtId="166" fontId="40" fillId="41" borderId="45" xfId="161" applyNumberFormat="1" applyFont="1" applyFill="1" applyBorder="1" applyAlignment="1" applyProtection="1">
      <alignment horizontal="right" vertical="center" shrinkToFit="1"/>
      <protection hidden="1"/>
    </xf>
    <xf numFmtId="165" fontId="40" fillId="0" borderId="39" xfId="163" applyNumberFormat="1" applyFont="1" applyBorder="1" applyAlignment="1" applyProtection="1">
      <alignment horizontal="right" vertical="center" shrinkToFit="1"/>
      <protection hidden="1"/>
    </xf>
    <xf numFmtId="170" fontId="26" fillId="35" borderId="25" xfId="0" applyNumberFormat="1" applyFont="1" applyFill="1" applyBorder="1" applyAlignment="1" applyProtection="1">
      <alignment horizontal="center" wrapText="1"/>
      <protection hidden="1"/>
    </xf>
    <xf numFmtId="0" fontId="33" fillId="7" borderId="5" xfId="161" applyFont="1" applyFill="1" applyBorder="1" applyAlignment="1" applyProtection="1">
      <alignment horizontal="right" wrapText="1"/>
      <protection hidden="1"/>
    </xf>
    <xf numFmtId="166" fontId="40" fillId="41" borderId="3" xfId="161" applyNumberFormat="1" applyFont="1" applyFill="1" applyBorder="1" applyAlignment="1" applyProtection="1">
      <alignment horizontal="right" vertical="center" shrinkToFit="1"/>
      <protection hidden="1"/>
    </xf>
    <xf numFmtId="165" fontId="40" fillId="0" borderId="4" xfId="163" applyNumberFormat="1" applyFont="1" applyBorder="1" applyAlignment="1" applyProtection="1">
      <alignment horizontal="right" vertical="center" shrinkToFit="1"/>
      <protection hidden="1"/>
    </xf>
    <xf numFmtId="0" fontId="26" fillId="3" borderId="23" xfId="161" applyFont="1" applyFill="1" applyBorder="1" applyAlignment="1" applyProtection="1">
      <alignment horizontal="right" vertical="center"/>
      <protection hidden="1"/>
    </xf>
    <xf numFmtId="0" fontId="26" fillId="25" borderId="23" xfId="161" applyFont="1" applyFill="1" applyBorder="1" applyAlignment="1" applyProtection="1">
      <alignment horizontal="right" vertical="center"/>
      <protection hidden="1"/>
    </xf>
    <xf numFmtId="0" fontId="26" fillId="22" borderId="23" xfId="161" applyFont="1" applyFill="1" applyBorder="1" applyAlignment="1" applyProtection="1">
      <alignment horizontal="right" vertical="center"/>
      <protection hidden="1"/>
    </xf>
    <xf numFmtId="170" fontId="26" fillId="34" borderId="23" xfId="0" applyNumberFormat="1" applyFont="1" applyFill="1" applyBorder="1" applyAlignment="1" applyProtection="1">
      <alignment horizontal="right" wrapText="1"/>
      <protection hidden="1"/>
    </xf>
    <xf numFmtId="0" fontId="70" fillId="3" borderId="104" xfId="161" applyFont="1" applyFill="1" applyBorder="1" applyAlignment="1" applyProtection="1">
      <alignment horizontal="right" vertical="center"/>
      <protection hidden="1"/>
    </xf>
    <xf numFmtId="0" fontId="23" fillId="0" borderId="0" xfId="166" applyFont="1" applyAlignment="1" applyProtection="1">
      <alignment horizontal="right" vertical="center" wrapText="1"/>
      <protection hidden="1"/>
    </xf>
    <xf numFmtId="0" fontId="74" fillId="0" borderId="0" xfId="161" applyFont="1" applyAlignment="1" applyProtection="1">
      <alignment vertical="center"/>
      <protection hidden="1"/>
    </xf>
    <xf numFmtId="0" fontId="26" fillId="0" borderId="23" xfId="161" applyFont="1" applyBorder="1" applyAlignment="1" applyProtection="1">
      <alignment horizontal="right" vertical="center"/>
      <protection hidden="1"/>
    </xf>
    <xf numFmtId="204" fontId="21" fillId="0" borderId="0" xfId="161" applyNumberFormat="1" applyFont="1" applyAlignment="1" applyProtection="1">
      <alignment horizontal="center" vertical="center" wrapText="1"/>
      <protection hidden="1"/>
    </xf>
    <xf numFmtId="9" fontId="21" fillId="0" borderId="0" xfId="163" applyFont="1" applyAlignment="1" applyProtection="1">
      <alignment horizontal="center" vertical="center" wrapText="1"/>
      <protection hidden="1"/>
    </xf>
    <xf numFmtId="166" fontId="21" fillId="0" borderId="0" xfId="161" applyNumberFormat="1" applyFont="1" applyAlignment="1" applyProtection="1">
      <alignment horizontal="center" wrapText="1"/>
      <protection hidden="1"/>
    </xf>
    <xf numFmtId="166" fontId="21" fillId="0" borderId="0" xfId="161" applyNumberFormat="1" applyFont="1" applyAlignment="1" applyProtection="1">
      <alignment horizontal="center" vertical="center" wrapText="1"/>
      <protection hidden="1"/>
    </xf>
    <xf numFmtId="166" fontId="23" fillId="0" borderId="0" xfId="161" applyNumberFormat="1" applyFont="1" applyAlignment="1" applyProtection="1">
      <alignment horizontal="center" wrapText="1"/>
      <protection hidden="1"/>
    </xf>
    <xf numFmtId="49" fontId="21" fillId="0" borderId="26" xfId="161" applyNumberFormat="1" applyFont="1" applyBorder="1" applyAlignment="1" applyProtection="1">
      <alignment horizontal="left" vertical="top" wrapText="1"/>
      <protection hidden="1"/>
    </xf>
    <xf numFmtId="49" fontId="21" fillId="0" borderId="36" xfId="161" applyNumberFormat="1" applyFont="1" applyBorder="1" applyAlignment="1" applyProtection="1">
      <alignment horizontal="left" vertical="top" wrapText="1"/>
      <protection hidden="1"/>
    </xf>
    <xf numFmtId="49" fontId="22" fillId="25" borderId="27" xfId="161" applyNumberFormat="1" applyFont="1" applyFill="1" applyBorder="1" applyAlignment="1" applyProtection="1">
      <alignment horizontal="right" vertical="top"/>
      <protection hidden="1"/>
    </xf>
    <xf numFmtId="49" fontId="27" fillId="45" borderId="42" xfId="161" applyNumberFormat="1" applyFont="1" applyFill="1" applyBorder="1" applyAlignment="1" applyProtection="1">
      <alignment horizontal="right" vertical="top"/>
      <protection hidden="1"/>
    </xf>
    <xf numFmtId="49" fontId="27" fillId="45" borderId="44" xfId="161" applyNumberFormat="1" applyFont="1" applyFill="1" applyBorder="1" applyAlignment="1" applyProtection="1">
      <alignment horizontal="left" vertical="top"/>
      <protection hidden="1"/>
    </xf>
    <xf numFmtId="167" fontId="26" fillId="0" borderId="0" xfId="161" applyNumberFormat="1" applyFont="1" applyAlignment="1" applyProtection="1">
      <alignment horizontal="center" vertical="center" wrapText="1"/>
      <protection hidden="1"/>
    </xf>
    <xf numFmtId="0" fontId="26" fillId="0" borderId="0" xfId="161" applyFont="1" applyAlignment="1" applyProtection="1">
      <alignment horizontal="right" vertical="center"/>
      <protection hidden="1"/>
    </xf>
    <xf numFmtId="0" fontId="21" fillId="0" borderId="23" xfId="161" applyFont="1" applyBorder="1" applyAlignment="1" applyProtection="1">
      <alignment horizontal="right" vertical="center" wrapText="1"/>
      <protection hidden="1"/>
    </xf>
    <xf numFmtId="170" fontId="47" fillId="7" borderId="25" xfId="161" applyNumberFormat="1" applyFont="1" applyFill="1" applyBorder="1" applyAlignment="1" applyProtection="1">
      <alignment horizontal="center" vertical="center" wrapText="1" shrinkToFit="1"/>
      <protection hidden="1"/>
    </xf>
    <xf numFmtId="170" fontId="27" fillId="6" borderId="40" xfId="161" applyNumberFormat="1" applyFont="1" applyFill="1" applyBorder="1" applyAlignment="1" applyProtection="1">
      <alignment horizontal="center" vertical="center" wrapText="1" shrinkToFit="1"/>
      <protection hidden="1"/>
    </xf>
    <xf numFmtId="165" fontId="31" fillId="7" borderId="4" xfId="157" applyNumberFormat="1" applyFont="1" applyFill="1" applyBorder="1" applyAlignment="1" applyProtection="1">
      <alignment horizontal="center" vertical="center" wrapText="1"/>
      <protection hidden="1"/>
    </xf>
    <xf numFmtId="165" fontId="31" fillId="7" borderId="38" xfId="157" applyNumberFormat="1" applyFont="1" applyFill="1" applyBorder="1" applyAlignment="1" applyProtection="1">
      <alignment horizontal="center" vertical="center" wrapText="1"/>
      <protection hidden="1"/>
    </xf>
    <xf numFmtId="182" fontId="22" fillId="7" borderId="0" xfId="166" applyNumberFormat="1" applyFont="1" applyFill="1" applyAlignment="1" applyProtection="1">
      <alignment horizontal="right" wrapText="1"/>
      <protection hidden="1"/>
    </xf>
    <xf numFmtId="206" fontId="69" fillId="0" borderId="0" xfId="161" applyNumberFormat="1" applyFont="1" applyAlignment="1" applyProtection="1">
      <alignment horizontal="right" vertical="center"/>
      <protection hidden="1"/>
    </xf>
    <xf numFmtId="207" fontId="69" fillId="0" borderId="0" xfId="161" applyNumberFormat="1" applyFont="1" applyAlignment="1" applyProtection="1">
      <alignment horizontal="right" vertical="center"/>
      <protection hidden="1"/>
    </xf>
    <xf numFmtId="208" fontId="69" fillId="0" borderId="0" xfId="161" applyNumberFormat="1" applyFont="1" applyAlignment="1" applyProtection="1">
      <alignment horizontal="right" vertical="center"/>
      <protection hidden="1"/>
    </xf>
    <xf numFmtId="209" fontId="69" fillId="0" borderId="0" xfId="161" applyNumberFormat="1" applyFont="1" applyAlignment="1" applyProtection="1">
      <alignment horizontal="right" vertical="center"/>
      <protection hidden="1"/>
    </xf>
    <xf numFmtId="210" fontId="69" fillId="0" borderId="0" xfId="161" applyNumberFormat="1" applyFont="1" applyAlignment="1" applyProtection="1">
      <alignment horizontal="right" vertical="center"/>
      <protection hidden="1"/>
    </xf>
    <xf numFmtId="0" fontId="22" fillId="0" borderId="0" xfId="167" applyFont="1" applyAlignment="1" applyProtection="1">
      <alignment horizontal="center" vertical="center" wrapText="1"/>
      <protection hidden="1"/>
    </xf>
    <xf numFmtId="0" fontId="28" fillId="0" borderId="0" xfId="167" applyFont="1" applyAlignment="1" applyProtection="1">
      <alignment horizontal="left"/>
      <protection hidden="1"/>
    </xf>
    <xf numFmtId="0" fontId="26" fillId="0" borderId="0" xfId="167" applyFont="1" applyAlignment="1" applyProtection="1">
      <alignment horizontal="center" vertical="center" wrapText="1"/>
      <protection hidden="1"/>
    </xf>
    <xf numFmtId="170" fontId="33" fillId="7" borderId="44" xfId="167" applyNumberFormat="1" applyFont="1" applyFill="1" applyBorder="1" applyAlignment="1" applyProtection="1">
      <alignment horizontal="center" wrapText="1" shrinkToFit="1"/>
      <protection hidden="1"/>
    </xf>
    <xf numFmtId="188" fontId="26" fillId="23" borderId="0" xfId="166" applyNumberFormat="1" applyFont="1" applyFill="1" applyAlignment="1" applyProtection="1">
      <alignment horizontal="right" vertical="center" wrapText="1"/>
      <protection hidden="1"/>
    </xf>
    <xf numFmtId="0" fontId="26" fillId="0" borderId="0" xfId="167" applyFont="1" applyAlignment="1" applyProtection="1">
      <alignment horizontal="right" vertical="center" wrapText="1"/>
      <protection hidden="1"/>
    </xf>
    <xf numFmtId="0" fontId="31" fillId="0" borderId="0" xfId="167" applyFont="1" applyAlignment="1" applyProtection="1">
      <alignment horizontal="center" vertical="center" wrapText="1"/>
      <protection hidden="1"/>
    </xf>
    <xf numFmtId="0" fontId="47" fillId="0" borderId="0" xfId="167" applyFont="1" applyAlignment="1" applyProtection="1">
      <alignment horizontal="left" vertical="center"/>
      <protection hidden="1"/>
    </xf>
    <xf numFmtId="0" fontId="25" fillId="23" borderId="0" xfId="167" applyFont="1" applyFill="1" applyAlignment="1" applyProtection="1">
      <alignment horizontal="left" vertical="center"/>
      <protection hidden="1"/>
    </xf>
    <xf numFmtId="0" fontId="25" fillId="46" borderId="0" xfId="167" applyFont="1" applyFill="1" applyAlignment="1" applyProtection="1">
      <alignment horizontal="left" vertical="center"/>
      <protection hidden="1"/>
    </xf>
    <xf numFmtId="0" fontId="23" fillId="0" borderId="0" xfId="167" applyFont="1" applyAlignment="1" applyProtection="1">
      <alignment horizontal="left" vertical="center"/>
      <protection hidden="1"/>
    </xf>
    <xf numFmtId="0" fontId="31" fillId="7" borderId="14" xfId="167" applyFont="1" applyFill="1" applyBorder="1" applyAlignment="1" applyProtection="1">
      <alignment horizontal="center" vertical="center" wrapText="1"/>
      <protection hidden="1"/>
    </xf>
    <xf numFmtId="0" fontId="31" fillId="7" borderId="15" xfId="167" applyFont="1" applyFill="1" applyBorder="1" applyAlignment="1" applyProtection="1">
      <alignment horizontal="center" vertical="center" wrapText="1"/>
      <protection hidden="1"/>
    </xf>
    <xf numFmtId="170" fontId="47" fillId="6" borderId="25" xfId="167" applyNumberFormat="1" applyFont="1" applyFill="1" applyBorder="1" applyAlignment="1" applyProtection="1">
      <alignment horizontal="center" vertical="center" wrapText="1" shrinkToFit="1"/>
      <protection hidden="1"/>
    </xf>
    <xf numFmtId="170" fontId="26" fillId="7" borderId="0" xfId="167" applyNumberFormat="1" applyFont="1" applyFill="1" applyAlignment="1" applyProtection="1">
      <alignment horizontal="right" vertical="center"/>
      <protection hidden="1"/>
    </xf>
    <xf numFmtId="170" fontId="26" fillId="7" borderId="7" xfId="167" applyNumberFormat="1" applyFont="1" applyFill="1" applyBorder="1" applyAlignment="1" applyProtection="1">
      <alignment horizontal="right" vertical="center"/>
      <protection hidden="1"/>
    </xf>
    <xf numFmtId="170" fontId="26" fillId="7" borderId="8" xfId="167" applyNumberFormat="1" applyFont="1" applyFill="1" applyBorder="1" applyAlignment="1" applyProtection="1">
      <alignment horizontal="right" vertical="center"/>
      <protection hidden="1"/>
    </xf>
    <xf numFmtId="170" fontId="26" fillId="7" borderId="9" xfId="167" applyNumberFormat="1" applyFont="1" applyFill="1" applyBorder="1" applyAlignment="1" applyProtection="1">
      <alignment horizontal="right" vertical="center"/>
      <protection hidden="1"/>
    </xf>
    <xf numFmtId="170" fontId="26" fillId="9" borderId="0" xfId="167" applyNumberFormat="1" applyFont="1" applyFill="1" applyAlignment="1" applyProtection="1">
      <alignment horizontal="right" vertical="center"/>
      <protection hidden="1"/>
    </xf>
    <xf numFmtId="170" fontId="26" fillId="9" borderId="7" xfId="167" applyNumberFormat="1" applyFont="1" applyFill="1" applyBorder="1" applyAlignment="1" applyProtection="1">
      <alignment horizontal="right" vertical="center"/>
      <protection hidden="1"/>
    </xf>
    <xf numFmtId="180" fontId="26" fillId="37" borderId="0" xfId="167" applyNumberFormat="1" applyFont="1" applyFill="1" applyAlignment="1" applyProtection="1">
      <alignment horizontal="right" vertical="center" wrapText="1"/>
      <protection hidden="1"/>
    </xf>
    <xf numFmtId="170" fontId="26" fillId="8" borderId="0" xfId="167" applyNumberFormat="1" applyFont="1" applyFill="1" applyAlignment="1" applyProtection="1">
      <alignment horizontal="right" vertical="center"/>
      <protection hidden="1"/>
    </xf>
    <xf numFmtId="170" fontId="26" fillId="8" borderId="7" xfId="167" applyNumberFormat="1" applyFont="1" applyFill="1" applyBorder="1" applyAlignment="1" applyProtection="1">
      <alignment horizontal="right" vertical="center"/>
      <protection hidden="1"/>
    </xf>
    <xf numFmtId="170" fontId="26" fillId="4" borderId="0" xfId="167" applyNumberFormat="1" applyFont="1" applyFill="1" applyAlignment="1" applyProtection="1">
      <alignment horizontal="right" vertical="center"/>
      <protection hidden="1"/>
    </xf>
    <xf numFmtId="170" fontId="26" fillId="4" borderId="7" xfId="167" applyNumberFormat="1" applyFont="1" applyFill="1" applyBorder="1" applyAlignment="1" applyProtection="1">
      <alignment horizontal="right" vertical="center"/>
      <protection hidden="1"/>
    </xf>
    <xf numFmtId="170" fontId="26" fillId="3" borderId="0" xfId="167" applyNumberFormat="1" applyFont="1" applyFill="1" applyAlignment="1" applyProtection="1">
      <alignment horizontal="right" vertical="center"/>
      <protection hidden="1"/>
    </xf>
    <xf numFmtId="170" fontId="26" fillId="3" borderId="7" xfId="167" applyNumberFormat="1" applyFont="1" applyFill="1" applyBorder="1" applyAlignment="1" applyProtection="1">
      <alignment horizontal="right" vertical="center"/>
      <protection hidden="1"/>
    </xf>
    <xf numFmtId="170" fontId="26" fillId="10" borderId="0" xfId="167" applyNumberFormat="1" applyFont="1" applyFill="1" applyAlignment="1" applyProtection="1">
      <alignment horizontal="right" vertical="center"/>
      <protection hidden="1"/>
    </xf>
    <xf numFmtId="170" fontId="26" fillId="10" borderId="7" xfId="167" applyNumberFormat="1" applyFont="1" applyFill="1" applyBorder="1" applyAlignment="1" applyProtection="1">
      <alignment horizontal="right" vertical="center"/>
      <protection hidden="1"/>
    </xf>
    <xf numFmtId="170" fontId="26" fillId="11" borderId="0" xfId="167" applyNumberFormat="1" applyFont="1" applyFill="1" applyAlignment="1" applyProtection="1">
      <alignment horizontal="right" vertical="center"/>
      <protection hidden="1"/>
    </xf>
    <xf numFmtId="170" fontId="26" fillId="11" borderId="7" xfId="167" applyNumberFormat="1" applyFont="1" applyFill="1" applyBorder="1" applyAlignment="1" applyProtection="1">
      <alignment horizontal="right" vertical="center"/>
      <protection hidden="1"/>
    </xf>
    <xf numFmtId="170" fontId="26" fillId="12" borderId="0" xfId="167" applyNumberFormat="1" applyFont="1" applyFill="1" applyAlignment="1" applyProtection="1">
      <alignment horizontal="right" vertical="center"/>
      <protection hidden="1"/>
    </xf>
    <xf numFmtId="170" fontId="26" fillId="12" borderId="7" xfId="167" applyNumberFormat="1" applyFont="1" applyFill="1" applyBorder="1" applyAlignment="1" applyProtection="1">
      <alignment horizontal="right" vertical="center"/>
      <protection hidden="1"/>
    </xf>
    <xf numFmtId="170" fontId="31" fillId="12" borderId="8" xfId="167" applyNumberFormat="1" applyFont="1" applyFill="1" applyBorder="1" applyAlignment="1" applyProtection="1">
      <alignment horizontal="right" vertical="center"/>
      <protection hidden="1"/>
    </xf>
    <xf numFmtId="170" fontId="31" fillId="12" borderId="9" xfId="167" applyNumberFormat="1" applyFont="1" applyFill="1" applyBorder="1" applyAlignment="1" applyProtection="1">
      <alignment horizontal="right" vertical="center"/>
      <protection hidden="1"/>
    </xf>
    <xf numFmtId="170" fontId="26" fillId="5" borderId="0" xfId="167" applyNumberFormat="1" applyFont="1" applyFill="1" applyAlignment="1" applyProtection="1">
      <alignment horizontal="right" vertical="center"/>
      <protection hidden="1"/>
    </xf>
    <xf numFmtId="170" fontId="26" fillId="5" borderId="7" xfId="167" applyNumberFormat="1" applyFont="1" applyFill="1" applyBorder="1" applyAlignment="1" applyProtection="1">
      <alignment horizontal="right" vertical="center"/>
      <protection hidden="1"/>
    </xf>
    <xf numFmtId="170" fontId="26" fillId="14" borderId="0" xfId="167" applyNumberFormat="1" applyFont="1" applyFill="1" applyAlignment="1" applyProtection="1">
      <alignment horizontal="right" vertical="center"/>
      <protection hidden="1"/>
    </xf>
    <xf numFmtId="170" fontId="26" fillId="14" borderId="7" xfId="167" applyNumberFormat="1" applyFont="1" applyFill="1" applyBorder="1" applyAlignment="1" applyProtection="1">
      <alignment horizontal="right" vertical="center"/>
      <protection hidden="1"/>
    </xf>
    <xf numFmtId="170" fontId="31" fillId="14" borderId="8" xfId="167" applyNumberFormat="1" applyFont="1" applyFill="1" applyBorder="1" applyAlignment="1" applyProtection="1">
      <alignment horizontal="right" vertical="center"/>
      <protection hidden="1"/>
    </xf>
    <xf numFmtId="170" fontId="31" fillId="14" borderId="9" xfId="167" applyNumberFormat="1" applyFont="1" applyFill="1" applyBorder="1" applyAlignment="1" applyProtection="1">
      <alignment horizontal="right" vertical="center"/>
      <protection hidden="1"/>
    </xf>
    <xf numFmtId="174" fontId="26" fillId="25" borderId="0" xfId="167" applyNumberFormat="1" applyFont="1" applyFill="1" applyAlignment="1" applyProtection="1">
      <alignment horizontal="right" vertical="center"/>
      <protection hidden="1"/>
    </xf>
    <xf numFmtId="174" fontId="26" fillId="25" borderId="6" xfId="167" applyNumberFormat="1" applyFont="1" applyFill="1" applyBorder="1" applyAlignment="1" applyProtection="1">
      <alignment horizontal="right" vertical="center"/>
      <protection hidden="1"/>
    </xf>
    <xf numFmtId="170" fontId="26" fillId="14" borderId="54" xfId="167" applyNumberFormat="1" applyFont="1" applyFill="1" applyBorder="1" applyAlignment="1" applyProtection="1">
      <alignment horizontal="right" vertical="center"/>
      <protection hidden="1"/>
    </xf>
    <xf numFmtId="174" fontId="26" fillId="38" borderId="0" xfId="167" applyNumberFormat="1" applyFont="1" applyFill="1" applyAlignment="1" applyProtection="1">
      <alignment horizontal="right" vertical="center"/>
      <protection hidden="1"/>
    </xf>
    <xf numFmtId="174" fontId="26" fillId="25" borderId="54" xfId="167" applyNumberFormat="1" applyFont="1" applyFill="1" applyBorder="1" applyAlignment="1" applyProtection="1">
      <alignment horizontal="right" vertical="center"/>
      <protection hidden="1"/>
    </xf>
    <xf numFmtId="170" fontId="26" fillId="15" borderId="8" xfId="167" applyNumberFormat="1" applyFont="1" applyFill="1" applyBorder="1" applyAlignment="1" applyProtection="1">
      <alignment horizontal="right" vertical="center"/>
      <protection hidden="1"/>
    </xf>
    <xf numFmtId="170" fontId="26" fillId="15" borderId="9" xfId="167" applyNumberFormat="1" applyFont="1" applyFill="1" applyBorder="1" applyAlignment="1" applyProtection="1">
      <alignment horizontal="right" vertical="center"/>
      <protection hidden="1"/>
    </xf>
    <xf numFmtId="180" fontId="47" fillId="7" borderId="10" xfId="167" applyNumberFormat="1" applyFont="1" applyFill="1" applyBorder="1" applyAlignment="1" applyProtection="1">
      <alignment horizontal="right" vertical="center"/>
      <protection hidden="1"/>
    </xf>
    <xf numFmtId="180" fontId="47" fillId="7" borderId="11" xfId="167" applyNumberFormat="1" applyFont="1" applyFill="1" applyBorder="1" applyAlignment="1" applyProtection="1">
      <alignment horizontal="right" vertical="center"/>
      <protection hidden="1"/>
    </xf>
    <xf numFmtId="180" fontId="26" fillId="3" borderId="0" xfId="167" applyNumberFormat="1" applyFont="1" applyFill="1" applyAlignment="1" applyProtection="1">
      <alignment horizontal="right" vertical="center"/>
      <protection hidden="1"/>
    </xf>
    <xf numFmtId="180" fontId="26" fillId="3" borderId="7" xfId="167" applyNumberFormat="1" applyFont="1" applyFill="1" applyBorder="1" applyAlignment="1" applyProtection="1">
      <alignment horizontal="right" vertical="center"/>
      <protection hidden="1"/>
    </xf>
    <xf numFmtId="180" fontId="26" fillId="12" borderId="0" xfId="167" applyNumberFormat="1" applyFont="1" applyFill="1" applyAlignment="1" applyProtection="1">
      <alignment horizontal="right" vertical="center"/>
      <protection hidden="1"/>
    </xf>
    <xf numFmtId="180" fontId="26" fillId="12" borderId="7" xfId="167" applyNumberFormat="1" applyFont="1" applyFill="1" applyBorder="1" applyAlignment="1" applyProtection="1">
      <alignment horizontal="right" vertical="center"/>
      <protection hidden="1"/>
    </xf>
    <xf numFmtId="180" fontId="26" fillId="14" borderId="0" xfId="167" applyNumberFormat="1" applyFont="1" applyFill="1" applyAlignment="1" applyProtection="1">
      <alignment horizontal="right" vertical="center"/>
      <protection hidden="1"/>
    </xf>
    <xf numFmtId="180" fontId="26" fillId="14" borderId="7" xfId="167" applyNumberFormat="1" applyFont="1" applyFill="1" applyBorder="1" applyAlignment="1" applyProtection="1">
      <alignment horizontal="right" vertical="center"/>
      <protection hidden="1"/>
    </xf>
    <xf numFmtId="168" fontId="27" fillId="6" borderId="12" xfId="167" applyNumberFormat="1" applyFont="1" applyFill="1" applyBorder="1" applyAlignment="1" applyProtection="1">
      <alignment horizontal="right" vertical="center"/>
      <protection hidden="1"/>
    </xf>
    <xf numFmtId="168" fontId="27" fillId="6" borderId="13" xfId="167" applyNumberFormat="1" applyFont="1" applyFill="1" applyBorder="1" applyAlignment="1" applyProtection="1">
      <alignment horizontal="right" vertical="center"/>
      <protection hidden="1"/>
    </xf>
    <xf numFmtId="0" fontId="26" fillId="7" borderId="0" xfId="167" applyFont="1" applyFill="1" applyAlignment="1" applyProtection="1">
      <alignment horizontal="right" vertical="center"/>
      <protection hidden="1"/>
    </xf>
    <xf numFmtId="0" fontId="26" fillId="7" borderId="7" xfId="167" applyFont="1" applyFill="1" applyBorder="1" applyAlignment="1" applyProtection="1">
      <alignment horizontal="right" vertical="center"/>
      <protection hidden="1"/>
    </xf>
    <xf numFmtId="0" fontId="21" fillId="0" borderId="0" xfId="167" applyFont="1" applyAlignment="1" applyProtection="1">
      <alignment horizontal="right" vertical="center" shrinkToFit="1"/>
      <protection hidden="1"/>
    </xf>
    <xf numFmtId="168" fontId="22" fillId="6" borderId="14" xfId="167" applyNumberFormat="1" applyFont="1" applyFill="1" applyBorder="1" applyAlignment="1" applyProtection="1">
      <alignment horizontal="right"/>
      <protection hidden="1"/>
    </xf>
    <xf numFmtId="168" fontId="22" fillId="6" borderId="15" xfId="167" applyNumberFormat="1" applyFont="1" applyFill="1" applyBorder="1" applyAlignment="1" applyProtection="1">
      <alignment horizontal="right"/>
      <protection hidden="1"/>
    </xf>
    <xf numFmtId="170" fontId="27" fillId="6" borderId="14" xfId="167" applyNumberFormat="1" applyFont="1" applyFill="1" applyBorder="1" applyAlignment="1" applyProtection="1">
      <alignment horizontal="center" wrapText="1" shrinkToFit="1"/>
      <protection hidden="1"/>
    </xf>
    <xf numFmtId="0" fontId="21" fillId="0" borderId="0" xfId="167" applyFont="1" applyAlignment="1" applyProtection="1">
      <alignment horizontal="center" vertical="center" wrapText="1"/>
      <protection hidden="1"/>
    </xf>
    <xf numFmtId="170" fontId="47" fillId="39" borderId="30" xfId="167" applyNumberFormat="1" applyFont="1" applyFill="1" applyBorder="1" applyAlignment="1" applyProtection="1">
      <alignment horizontal="center" vertical="center" wrapText="1" shrinkToFit="1"/>
      <protection hidden="1"/>
    </xf>
    <xf numFmtId="170" fontId="47" fillId="39" borderId="14" xfId="167" applyNumberFormat="1" applyFont="1" applyFill="1" applyBorder="1" applyAlignment="1" applyProtection="1">
      <alignment horizontal="center" vertical="center" wrapText="1" shrinkToFit="1"/>
      <protection hidden="1"/>
    </xf>
    <xf numFmtId="174" fontId="26" fillId="3" borderId="7" xfId="167" applyNumberFormat="1" applyFont="1" applyFill="1" applyBorder="1" applyAlignment="1" applyProtection="1">
      <alignment horizontal="right" vertical="center"/>
      <protection hidden="1"/>
    </xf>
    <xf numFmtId="0" fontId="21" fillId="0" borderId="29" xfId="167" applyFont="1" applyBorder="1" applyAlignment="1" applyProtection="1">
      <alignment horizontal="center" vertical="center" wrapText="1"/>
      <protection hidden="1"/>
    </xf>
    <xf numFmtId="174" fontId="26" fillId="12" borderId="7" xfId="167" applyNumberFormat="1" applyFont="1" applyFill="1" applyBorder="1" applyAlignment="1" applyProtection="1">
      <alignment horizontal="right" vertical="center"/>
      <protection hidden="1"/>
    </xf>
    <xf numFmtId="183" fontId="26" fillId="46" borderId="0" xfId="167" applyNumberFormat="1" applyFont="1" applyFill="1" applyAlignment="1" applyProtection="1">
      <alignment horizontal="center" vertical="center" wrapText="1"/>
      <protection hidden="1"/>
    </xf>
    <xf numFmtId="0" fontId="23" fillId="0" borderId="0" xfId="167" applyFont="1" applyAlignment="1" applyProtection="1">
      <alignment horizontal="center" vertical="center" wrapText="1"/>
      <protection hidden="1"/>
    </xf>
    <xf numFmtId="183" fontId="26" fillId="23" borderId="6" xfId="167" applyNumberFormat="1" applyFont="1" applyFill="1" applyBorder="1" applyAlignment="1" applyProtection="1">
      <alignment horizontal="center" vertical="center" wrapText="1"/>
      <protection hidden="1"/>
    </xf>
    <xf numFmtId="183" fontId="26" fillId="23" borderId="1" xfId="167" applyNumberFormat="1" applyFont="1" applyFill="1" applyBorder="1" applyAlignment="1" applyProtection="1">
      <alignment horizontal="center" vertical="center" wrapText="1"/>
      <protection hidden="1"/>
    </xf>
    <xf numFmtId="174" fontId="26" fillId="25" borderId="7" xfId="167" applyNumberFormat="1" applyFont="1" applyFill="1" applyBorder="1" applyAlignment="1" applyProtection="1">
      <alignment horizontal="right" vertical="center"/>
      <protection hidden="1"/>
    </xf>
    <xf numFmtId="180" fontId="31" fillId="37" borderId="0" xfId="167" applyNumberFormat="1" applyFont="1" applyFill="1" applyAlignment="1" applyProtection="1">
      <alignment horizontal="right" vertical="center" wrapText="1"/>
      <protection hidden="1"/>
    </xf>
    <xf numFmtId="180" fontId="27" fillId="6" borderId="0" xfId="167" applyNumberFormat="1" applyFont="1" applyFill="1" applyAlignment="1" applyProtection="1">
      <alignment horizontal="right" vertical="center" wrapText="1"/>
      <protection hidden="1"/>
    </xf>
    <xf numFmtId="180" fontId="47" fillId="7" borderId="10" xfId="167" applyNumberFormat="1" applyFont="1" applyFill="1" applyBorder="1" applyAlignment="1" applyProtection="1">
      <alignment horizontal="right" vertical="center" wrapText="1"/>
      <protection hidden="1"/>
    </xf>
    <xf numFmtId="0" fontId="47" fillId="0" borderId="0" xfId="167" applyFont="1" applyAlignment="1" applyProtection="1">
      <alignment horizontal="center" vertical="center" wrapText="1"/>
      <protection hidden="1"/>
    </xf>
    <xf numFmtId="0" fontId="31" fillId="37" borderId="0" xfId="167" applyFont="1" applyFill="1" applyAlignment="1" applyProtection="1">
      <alignment horizontal="right" vertical="center" wrapText="1"/>
      <protection hidden="1"/>
    </xf>
    <xf numFmtId="0" fontId="31" fillId="37" borderId="4" xfId="167" applyFont="1" applyFill="1" applyBorder="1" applyAlignment="1" applyProtection="1">
      <alignment horizontal="center" vertical="center" wrapText="1"/>
      <protection hidden="1"/>
    </xf>
    <xf numFmtId="0" fontId="27" fillId="0" borderId="0" xfId="167" applyFont="1" applyAlignment="1" applyProtection="1">
      <alignment horizontal="center" vertical="center" wrapText="1"/>
      <protection hidden="1"/>
    </xf>
    <xf numFmtId="0" fontId="23" fillId="0" borderId="0" xfId="166" applyFont="1" applyAlignment="1" applyProtection="1">
      <alignment horizontal="center" vertical="top" wrapText="1"/>
      <protection hidden="1"/>
    </xf>
    <xf numFmtId="167" fontId="26" fillId="19" borderId="2" xfId="161" applyNumberFormat="1" applyFont="1" applyFill="1" applyBorder="1" applyAlignment="1" applyProtection="1">
      <alignment horizontal="right" vertical="center" wrapText="1"/>
      <protection locked="0" hidden="1"/>
    </xf>
    <xf numFmtId="176" fontId="22" fillId="19" borderId="2" xfId="161" applyNumberFormat="1" applyFont="1" applyFill="1" applyBorder="1" applyAlignment="1" applyProtection="1">
      <alignment horizontal="right" vertical="center" wrapText="1"/>
      <protection locked="0" hidden="1"/>
    </xf>
    <xf numFmtId="170" fontId="26" fillId="3" borderId="0" xfId="161" applyNumberFormat="1" applyFont="1" applyFill="1" applyAlignment="1" applyProtection="1">
      <alignment horizontal="center" vertical="center"/>
      <protection hidden="1"/>
    </xf>
    <xf numFmtId="170" fontId="26" fillId="12" borderId="0" xfId="161" applyNumberFormat="1" applyFont="1" applyFill="1" applyAlignment="1" applyProtection="1">
      <alignment horizontal="center" vertical="center"/>
      <protection hidden="1"/>
    </xf>
    <xf numFmtId="9" fontId="26" fillId="0" borderId="0" xfId="163" applyFont="1" applyFill="1" applyBorder="1" applyAlignment="1" applyProtection="1">
      <alignment horizontal="center" vertical="center" wrapText="1"/>
      <protection hidden="1"/>
    </xf>
    <xf numFmtId="170" fontId="78" fillId="0" borderId="0" xfId="161" applyNumberFormat="1" applyFont="1" applyAlignment="1" applyProtection="1">
      <alignment horizontal="left" vertical="center"/>
      <protection hidden="1"/>
    </xf>
    <xf numFmtId="2" fontId="24" fillId="0" borderId="0" xfId="165" applyNumberFormat="1" applyFont="1" applyFill="1" applyBorder="1" applyAlignment="1" applyProtection="1">
      <alignment horizontal="center" vertical="center" wrapText="1"/>
      <protection hidden="1"/>
    </xf>
    <xf numFmtId="0" fontId="24" fillId="0" borderId="0" xfId="161" applyFont="1" applyAlignment="1" applyProtection="1">
      <alignment horizontal="right" vertical="center" indent="1"/>
      <protection hidden="1"/>
    </xf>
    <xf numFmtId="9" fontId="26" fillId="0" borderId="110" xfId="163" applyFont="1" applyBorder="1" applyAlignment="1" applyProtection="1">
      <alignment horizontal="center" vertical="center" wrapText="1"/>
      <protection hidden="1"/>
    </xf>
    <xf numFmtId="9" fontId="44" fillId="0" borderId="109" xfId="163" applyFont="1" applyFill="1" applyBorder="1" applyAlignment="1" applyProtection="1">
      <alignment horizontal="center" vertical="center" wrapText="1"/>
      <protection hidden="1"/>
    </xf>
    <xf numFmtId="9" fontId="44" fillId="0" borderId="110" xfId="163" applyFont="1" applyFill="1" applyBorder="1" applyAlignment="1" applyProtection="1">
      <alignment horizontal="center" vertical="center" wrapText="1"/>
      <protection hidden="1"/>
    </xf>
    <xf numFmtId="9" fontId="44" fillId="0" borderId="111" xfId="163" applyFont="1" applyFill="1" applyBorder="1" applyAlignment="1" applyProtection="1">
      <alignment horizontal="center" vertical="center" wrapText="1"/>
      <protection hidden="1"/>
    </xf>
    <xf numFmtId="0" fontId="25" fillId="0" borderId="104" xfId="166" applyFont="1" applyBorder="1" applyAlignment="1" applyProtection="1">
      <alignment horizontal="right" vertical="center" wrapText="1"/>
      <protection hidden="1"/>
    </xf>
    <xf numFmtId="190" fontId="27" fillId="0" borderId="0" xfId="161" applyNumberFormat="1" applyFont="1" applyAlignment="1" applyProtection="1">
      <alignment horizontal="right" vertical="center" shrinkToFit="1"/>
      <protection hidden="1"/>
    </xf>
    <xf numFmtId="0" fontId="23" fillId="0" borderId="0" xfId="166" applyFont="1" applyAlignment="1" applyProtection="1">
      <alignment horizontal="right" wrapText="1"/>
      <protection hidden="1"/>
    </xf>
    <xf numFmtId="212" fontId="26" fillId="0" borderId="23" xfId="166" applyNumberFormat="1" applyFont="1" applyBorder="1" applyAlignment="1" applyProtection="1">
      <alignment horizontal="right" vertical="center" wrapText="1"/>
      <protection hidden="1"/>
    </xf>
    <xf numFmtId="0" fontId="53" fillId="0" borderId="0" xfId="166" applyFont="1" applyAlignment="1" applyProtection="1">
      <alignment horizontal="center" vertical="center" wrapText="1"/>
      <protection hidden="1"/>
    </xf>
    <xf numFmtId="0" fontId="53" fillId="0" borderId="0" xfId="166" applyFont="1" applyAlignment="1" applyProtection="1">
      <alignment horizontal="right" vertical="center" wrapText="1"/>
      <protection hidden="1"/>
    </xf>
    <xf numFmtId="0" fontId="0" fillId="0" borderId="0" xfId="0" applyProtection="1">
      <protection hidden="1"/>
    </xf>
    <xf numFmtId="166" fontId="21" fillId="19" borderId="2" xfId="166" applyNumberFormat="1" applyFont="1" applyFill="1" applyBorder="1" applyAlignment="1" applyProtection="1">
      <alignment horizontal="right" vertical="center" shrinkToFit="1"/>
      <protection locked="0" hidden="1"/>
    </xf>
    <xf numFmtId="166" fontId="21" fillId="19" borderId="18" xfId="166" applyNumberFormat="1" applyFont="1" applyFill="1" applyBorder="1" applyAlignment="1" applyProtection="1">
      <alignment horizontal="right" vertical="center" shrinkToFit="1"/>
      <protection locked="0" hidden="1"/>
    </xf>
    <xf numFmtId="165" fontId="26" fillId="19" borderId="76" xfId="163" applyNumberFormat="1" applyFont="1" applyFill="1" applyBorder="1" applyAlignment="1" applyProtection="1">
      <alignment horizontal="right" vertical="center" shrinkToFit="1"/>
      <protection locked="0" hidden="1"/>
    </xf>
    <xf numFmtId="165" fontId="26" fillId="19" borderId="2" xfId="163" applyNumberFormat="1" applyFont="1" applyFill="1" applyBorder="1" applyAlignment="1" applyProtection="1">
      <alignment horizontal="right" vertical="center" shrinkToFit="1"/>
      <protection locked="0" hidden="1"/>
    </xf>
    <xf numFmtId="165" fontId="26" fillId="19" borderId="18" xfId="163" applyNumberFormat="1" applyFont="1" applyFill="1" applyBorder="1" applyAlignment="1" applyProtection="1">
      <alignment horizontal="right" vertical="center" shrinkToFit="1"/>
      <protection locked="0" hidden="1"/>
    </xf>
    <xf numFmtId="165" fontId="26" fillId="19" borderId="63" xfId="163" applyNumberFormat="1" applyFont="1" applyFill="1" applyBorder="1" applyAlignment="1" applyProtection="1">
      <alignment horizontal="right" vertical="center" shrinkToFit="1"/>
      <protection locked="0" hidden="1"/>
    </xf>
    <xf numFmtId="166" fontId="21" fillId="19" borderId="76" xfId="166" applyNumberFormat="1" applyFont="1" applyFill="1" applyBorder="1" applyAlignment="1" applyProtection="1">
      <alignment horizontal="right" vertical="center" shrinkToFit="1"/>
      <protection locked="0" hidden="1"/>
    </xf>
    <xf numFmtId="166" fontId="21" fillId="19" borderId="63" xfId="166" applyNumberFormat="1" applyFont="1" applyFill="1" applyBorder="1" applyAlignment="1" applyProtection="1">
      <alignment horizontal="right" vertical="center" shrinkToFit="1"/>
      <protection locked="0" hidden="1"/>
    </xf>
    <xf numFmtId="166" fontId="21" fillId="19" borderId="3" xfId="166" applyNumberFormat="1" applyFont="1" applyFill="1" applyBorder="1" applyAlignment="1" applyProtection="1">
      <alignment horizontal="right" vertical="center" shrinkToFit="1"/>
      <protection locked="0" hidden="1"/>
    </xf>
    <xf numFmtId="193" fontId="27" fillId="39" borderId="91" xfId="166" applyNumberFormat="1" applyFont="1" applyFill="1" applyBorder="1" applyAlignment="1" applyProtection="1">
      <alignment horizontal="right" vertical="center"/>
      <protection hidden="1"/>
    </xf>
    <xf numFmtId="193" fontId="27" fillId="39" borderId="90" xfId="166" applyNumberFormat="1" applyFont="1" applyFill="1" applyBorder="1" applyAlignment="1" applyProtection="1">
      <alignment horizontal="right" vertical="center"/>
      <protection hidden="1"/>
    </xf>
    <xf numFmtId="193" fontId="23" fillId="39" borderId="91" xfId="166" applyNumberFormat="1" applyFont="1" applyFill="1" applyBorder="1" applyAlignment="1" applyProtection="1">
      <alignment horizontal="center" vertical="center" wrapText="1"/>
      <protection hidden="1"/>
    </xf>
    <xf numFmtId="193" fontId="21" fillId="39" borderId="91" xfId="166" applyNumberFormat="1" applyFont="1" applyFill="1" applyBorder="1" applyAlignment="1" applyProtection="1">
      <alignment horizontal="right" vertical="center" wrapText="1"/>
      <protection hidden="1"/>
    </xf>
    <xf numFmtId="193" fontId="30" fillId="39" borderId="91" xfId="166" applyNumberFormat="1" applyFont="1" applyFill="1" applyBorder="1" applyAlignment="1" applyProtection="1">
      <alignment horizontal="center" vertical="center" wrapText="1"/>
      <protection hidden="1"/>
    </xf>
    <xf numFmtId="193" fontId="25" fillId="0" borderId="0" xfId="166" applyNumberFormat="1" applyFont="1" applyAlignment="1" applyProtection="1">
      <alignment horizontal="right" vertical="center" shrinkToFit="1"/>
      <protection hidden="1"/>
    </xf>
    <xf numFmtId="193" fontId="25" fillId="19" borderId="2" xfId="166" applyNumberFormat="1" applyFont="1" applyFill="1" applyBorder="1" applyAlignment="1" applyProtection="1">
      <alignment horizontal="right" vertical="center" shrinkToFit="1"/>
      <protection locked="0"/>
    </xf>
    <xf numFmtId="193" fontId="25" fillId="19" borderId="21" xfId="166" applyNumberFormat="1" applyFont="1" applyFill="1" applyBorder="1" applyAlignment="1" applyProtection="1">
      <alignment horizontal="right" vertical="center" shrinkToFit="1"/>
      <protection locked="0"/>
    </xf>
    <xf numFmtId="193" fontId="27" fillId="39" borderId="115" xfId="166" applyNumberFormat="1" applyFont="1" applyFill="1" applyBorder="1" applyAlignment="1" applyProtection="1">
      <alignment horizontal="right" vertical="center"/>
      <protection hidden="1"/>
    </xf>
    <xf numFmtId="0" fontId="35" fillId="0" borderId="6" xfId="166" applyFont="1" applyBorder="1" applyAlignment="1" applyProtection="1">
      <alignment horizontal="center" vertical="center" wrapText="1"/>
      <protection hidden="1"/>
    </xf>
    <xf numFmtId="0" fontId="35" fillId="0" borderId="6" xfId="166" applyFont="1" applyBorder="1" applyAlignment="1" applyProtection="1">
      <alignment horizontal="left" vertical="center"/>
      <protection hidden="1"/>
    </xf>
    <xf numFmtId="0" fontId="35" fillId="0" borderId="14" xfId="166" applyFont="1" applyBorder="1" applyAlignment="1" applyProtection="1">
      <alignment horizontal="center" vertical="center" wrapText="1"/>
      <protection hidden="1"/>
    </xf>
    <xf numFmtId="0" fontId="35" fillId="0" borderId="14" xfId="166" applyFont="1" applyBorder="1" applyAlignment="1" applyProtection="1">
      <alignment horizontal="left" vertical="center"/>
      <protection hidden="1"/>
    </xf>
    <xf numFmtId="0" fontId="53" fillId="0" borderId="14" xfId="166" applyFont="1" applyBorder="1" applyAlignment="1">
      <alignment horizontal="right" vertical="center" wrapText="1"/>
    </xf>
    <xf numFmtId="0" fontId="53" fillId="0" borderId="14" xfId="166" applyFont="1" applyBorder="1" applyAlignment="1">
      <alignment horizontal="center" vertical="center" wrapText="1"/>
    </xf>
    <xf numFmtId="0" fontId="53" fillId="0" borderId="14" xfId="166" applyFont="1" applyBorder="1" applyAlignment="1">
      <alignment horizontal="center" wrapText="1"/>
    </xf>
    <xf numFmtId="0" fontId="53" fillId="0" borderId="6" xfId="166" applyFont="1" applyBorder="1" applyAlignment="1">
      <alignment horizontal="right" vertical="center" wrapText="1"/>
    </xf>
    <xf numFmtId="0" fontId="53" fillId="0" borderId="6" xfId="166" applyFont="1" applyBorder="1" applyAlignment="1">
      <alignment horizontal="center" vertical="center" wrapText="1"/>
    </xf>
    <xf numFmtId="0" fontId="53" fillId="0" borderId="1" xfId="166" applyFont="1" applyBorder="1" applyAlignment="1">
      <alignment horizontal="right" vertical="center" wrapText="1"/>
    </xf>
    <xf numFmtId="0" fontId="53" fillId="0" borderId="1" xfId="166" applyFont="1" applyBorder="1" applyAlignment="1">
      <alignment horizontal="center" vertical="center" wrapText="1"/>
    </xf>
    <xf numFmtId="0" fontId="35" fillId="0" borderId="1" xfId="166" applyFont="1" applyBorder="1" applyAlignment="1" applyProtection="1">
      <alignment horizontal="center" vertical="center" wrapText="1"/>
      <protection hidden="1"/>
    </xf>
    <xf numFmtId="0" fontId="35" fillId="0" borderId="1" xfId="166" applyFont="1" applyBorder="1" applyAlignment="1" applyProtection="1">
      <alignment horizontal="left" vertical="center"/>
      <protection hidden="1"/>
    </xf>
    <xf numFmtId="1" fontId="21" fillId="0" borderId="6" xfId="166" applyNumberFormat="1" applyFont="1" applyBorder="1" applyAlignment="1" applyProtection="1">
      <alignment horizontal="center" vertical="center" wrapText="1"/>
      <protection hidden="1"/>
    </xf>
    <xf numFmtId="1" fontId="21" fillId="0" borderId="6" xfId="166" applyNumberFormat="1" applyFont="1" applyBorder="1" applyAlignment="1" applyProtection="1">
      <alignment horizontal="right" vertical="center" wrapText="1"/>
      <protection hidden="1"/>
    </xf>
    <xf numFmtId="166" fontId="21" fillId="19" borderId="114" xfId="166" applyNumberFormat="1" applyFont="1" applyFill="1" applyBorder="1" applyAlignment="1" applyProtection="1">
      <alignment horizontal="right" vertical="center" shrinkToFit="1"/>
      <protection locked="0" hidden="1"/>
    </xf>
    <xf numFmtId="166" fontId="21" fillId="19" borderId="106" xfId="166" applyNumberFormat="1" applyFont="1" applyFill="1" applyBorder="1" applyAlignment="1" applyProtection="1">
      <alignment horizontal="right" vertical="center" shrinkToFit="1"/>
      <protection locked="0" hidden="1"/>
    </xf>
    <xf numFmtId="166" fontId="21" fillId="0" borderId="4" xfId="166" applyNumberFormat="1" applyFont="1" applyBorder="1" applyAlignment="1" applyProtection="1">
      <alignment horizontal="right" vertical="center" shrinkToFit="1"/>
      <protection hidden="1"/>
    </xf>
    <xf numFmtId="166" fontId="22" fillId="39" borderId="116" xfId="166" applyNumberFormat="1" applyFont="1" applyFill="1" applyBorder="1" applyAlignment="1" applyProtection="1">
      <alignment horizontal="right" vertical="center" shrinkToFit="1"/>
      <protection hidden="1"/>
    </xf>
    <xf numFmtId="0" fontId="21" fillId="0" borderId="6" xfId="166" applyFont="1" applyBorder="1" applyAlignment="1">
      <alignment horizontal="right" vertical="center" wrapText="1"/>
    </xf>
    <xf numFmtId="0" fontId="21" fillId="0" borderId="6" xfId="166" applyFont="1" applyBorder="1" applyAlignment="1">
      <alignment horizontal="center" vertical="center" wrapText="1"/>
    </xf>
    <xf numFmtId="0" fontId="30" fillId="0" borderId="23" xfId="166" applyFont="1" applyBorder="1" applyAlignment="1" applyProtection="1">
      <alignment horizontal="right" vertical="center"/>
      <protection hidden="1"/>
    </xf>
    <xf numFmtId="0" fontId="23" fillId="0" borderId="0" xfId="166" applyFont="1" applyAlignment="1">
      <alignment horizontal="right" vertical="center" wrapText="1"/>
    </xf>
    <xf numFmtId="0" fontId="23" fillId="0" borderId="0" xfId="166" applyFont="1" applyAlignment="1">
      <alignment horizontal="center" vertical="center" wrapText="1"/>
    </xf>
    <xf numFmtId="165" fontId="30" fillId="0" borderId="0" xfId="163" applyNumberFormat="1" applyFont="1" applyAlignment="1">
      <alignment vertical="center" wrapText="1"/>
    </xf>
    <xf numFmtId="0" fontId="62" fillId="0" borderId="0" xfId="166" applyFont="1" applyAlignment="1">
      <alignment horizontal="center" vertical="center" wrapText="1"/>
    </xf>
    <xf numFmtId="0" fontId="22" fillId="0" borderId="119" xfId="166" applyFont="1" applyBorder="1" applyAlignment="1">
      <alignment horizontal="right" vertical="center" wrapText="1"/>
    </xf>
    <xf numFmtId="0" fontId="22" fillId="0" borderId="119" xfId="166" applyFont="1" applyBorder="1" applyAlignment="1">
      <alignment horizontal="center" vertical="center" wrapText="1"/>
    </xf>
    <xf numFmtId="0" fontId="27" fillId="7" borderId="120" xfId="166" applyFont="1" applyFill="1" applyBorder="1" applyAlignment="1" applyProtection="1">
      <alignment horizontal="right" vertical="center"/>
      <protection hidden="1"/>
    </xf>
    <xf numFmtId="0" fontId="27" fillId="7" borderId="23" xfId="166" applyFont="1" applyFill="1" applyBorder="1" applyAlignment="1" applyProtection="1">
      <alignment horizontal="right" vertical="center"/>
      <protection hidden="1"/>
    </xf>
    <xf numFmtId="0" fontId="26" fillId="7" borderId="31" xfId="166" applyFont="1" applyFill="1" applyBorder="1" applyAlignment="1" applyProtection="1">
      <alignment horizontal="right" vertical="center"/>
      <protection hidden="1"/>
    </xf>
    <xf numFmtId="189" fontId="27" fillId="7" borderId="22" xfId="166" applyNumberFormat="1" applyFont="1" applyFill="1" applyBorder="1" applyAlignment="1" applyProtection="1">
      <alignment horizontal="right" vertical="center" wrapText="1"/>
      <protection hidden="1"/>
    </xf>
    <xf numFmtId="0" fontId="26" fillId="7" borderId="23" xfId="166" applyFont="1" applyFill="1" applyBorder="1" applyAlignment="1" applyProtection="1">
      <alignment horizontal="right" vertical="center"/>
      <protection hidden="1"/>
    </xf>
    <xf numFmtId="0" fontId="53" fillId="0" borderId="0" xfId="166" applyFont="1" applyAlignment="1" applyProtection="1">
      <alignment horizontal="center" wrapText="1"/>
      <protection hidden="1"/>
    </xf>
    <xf numFmtId="0" fontId="81" fillId="0" borderId="23" xfId="166" applyFont="1" applyBorder="1" applyAlignment="1" applyProtection="1">
      <alignment horizontal="left" wrapText="1"/>
      <protection hidden="1"/>
    </xf>
    <xf numFmtId="0" fontId="52" fillId="0" borderId="23" xfId="166" applyFont="1" applyBorder="1" applyAlignment="1" applyProtection="1">
      <alignment horizontal="right" vertical="top" wrapText="1"/>
      <protection hidden="1"/>
    </xf>
    <xf numFmtId="0" fontId="26" fillId="0" borderId="0" xfId="166" applyFont="1" applyAlignment="1" applyProtection="1">
      <alignment horizontal="right" vertical="center" wrapText="1"/>
      <protection hidden="1"/>
    </xf>
    <xf numFmtId="0" fontId="82" fillId="0" borderId="23" xfId="166" applyFont="1" applyBorder="1" applyAlignment="1" applyProtection="1">
      <alignment horizontal="left" vertical="center"/>
      <protection hidden="1"/>
    </xf>
    <xf numFmtId="185" fontId="83" fillId="0" borderId="23" xfId="166" applyNumberFormat="1" applyFont="1" applyBorder="1" applyAlignment="1" applyProtection="1">
      <alignment horizontal="right" vertical="center" wrapText="1"/>
      <protection hidden="1"/>
    </xf>
    <xf numFmtId="214" fontId="24" fillId="0" borderId="0" xfId="0" applyNumberFormat="1" applyFont="1" applyAlignment="1">
      <alignment vertical="center"/>
    </xf>
    <xf numFmtId="180" fontId="21" fillId="0" borderId="0" xfId="161" applyNumberFormat="1" applyFont="1" applyAlignment="1" applyProtection="1">
      <alignment horizontal="center" vertical="center" wrapText="1"/>
      <protection hidden="1"/>
    </xf>
    <xf numFmtId="180" fontId="27" fillId="23" borderId="0" xfId="161" applyNumberFormat="1" applyFont="1" applyFill="1" applyAlignment="1" applyProtection="1">
      <alignment horizontal="center" vertical="center" shrinkToFit="1"/>
      <protection hidden="1"/>
    </xf>
    <xf numFmtId="182" fontId="21" fillId="23" borderId="0" xfId="166" applyNumberFormat="1" applyFont="1" applyFill="1" applyAlignment="1" applyProtection="1">
      <alignment horizontal="right" wrapText="1"/>
      <protection locked="0" hidden="1"/>
    </xf>
    <xf numFmtId="0" fontId="47" fillId="0" borderId="0" xfId="167" applyFont="1" applyAlignment="1" applyProtection="1">
      <alignment horizontal="right" vertical="center" wrapText="1"/>
      <protection hidden="1"/>
    </xf>
    <xf numFmtId="0" fontId="27" fillId="0" borderId="0" xfId="167" applyFont="1" applyAlignment="1" applyProtection="1">
      <alignment horizontal="right" vertical="center" wrapText="1"/>
      <protection hidden="1"/>
    </xf>
    <xf numFmtId="0" fontId="21" fillId="0" borderId="0" xfId="167" applyFont="1" applyAlignment="1" applyProtection="1">
      <alignment horizontal="right" vertical="center" wrapText="1"/>
      <protection hidden="1"/>
    </xf>
    <xf numFmtId="0" fontId="23" fillId="0" borderId="0" xfId="167" applyFont="1" applyAlignment="1" applyProtection="1">
      <alignment horizontal="right" vertical="center" wrapText="1"/>
      <protection hidden="1"/>
    </xf>
    <xf numFmtId="0" fontId="26" fillId="0" borderId="0" xfId="161" applyFont="1" applyAlignment="1" applyProtection="1">
      <alignment horizontal="right" wrapText="1"/>
      <protection hidden="1"/>
    </xf>
    <xf numFmtId="0" fontId="31" fillId="0" borderId="0" xfId="167" applyFont="1" applyAlignment="1" applyProtection="1">
      <alignment horizontal="center" wrapText="1"/>
      <protection hidden="1"/>
    </xf>
    <xf numFmtId="0" fontId="31" fillId="0" borderId="0" xfId="167" applyFont="1" applyAlignment="1" applyProtection="1">
      <alignment horizontal="right" wrapText="1"/>
      <protection hidden="1"/>
    </xf>
    <xf numFmtId="0" fontId="22" fillId="0" borderId="0" xfId="161" applyFont="1" applyAlignment="1" applyProtection="1">
      <alignment horizontal="right" wrapText="1"/>
      <protection hidden="1"/>
    </xf>
    <xf numFmtId="170" fontId="33" fillId="7" borderId="44" xfId="161" applyNumberFormat="1" applyFont="1" applyFill="1" applyBorder="1" applyAlignment="1" applyProtection="1">
      <alignment horizontal="right" wrapText="1" shrinkToFit="1"/>
      <protection hidden="1"/>
    </xf>
    <xf numFmtId="0" fontId="26" fillId="0" borderId="0" xfId="167" applyFont="1" applyAlignment="1" applyProtection="1">
      <alignment wrapText="1"/>
      <protection hidden="1"/>
    </xf>
    <xf numFmtId="9" fontId="21" fillId="23" borderId="0" xfId="163" applyFont="1" applyFill="1" applyBorder="1" applyAlignment="1" applyProtection="1">
      <alignment wrapText="1"/>
      <protection hidden="1"/>
    </xf>
    <xf numFmtId="170" fontId="33" fillId="7" borderId="44" xfId="167" applyNumberFormat="1" applyFont="1" applyFill="1" applyBorder="1" applyAlignment="1" applyProtection="1">
      <alignment horizontal="right" wrapText="1" shrinkToFit="1"/>
      <protection hidden="1"/>
    </xf>
    <xf numFmtId="185" fontId="26" fillId="0" borderId="0" xfId="166" applyNumberFormat="1" applyFont="1" applyAlignment="1" applyProtection="1">
      <alignment wrapText="1"/>
      <protection hidden="1"/>
    </xf>
    <xf numFmtId="9" fontId="21" fillId="0" borderId="0" xfId="163" applyFont="1" applyFill="1" applyBorder="1" applyAlignment="1" applyProtection="1">
      <alignment wrapText="1"/>
      <protection hidden="1"/>
    </xf>
    <xf numFmtId="215" fontId="21" fillId="0" borderId="0" xfId="165" applyNumberFormat="1" applyFont="1" applyFill="1" applyBorder="1" applyAlignment="1" applyProtection="1">
      <alignment wrapText="1"/>
      <protection hidden="1"/>
    </xf>
    <xf numFmtId="215" fontId="21" fillId="23" borderId="0" xfId="165" applyNumberFormat="1" applyFont="1" applyFill="1" applyBorder="1" applyAlignment="1" applyProtection="1">
      <alignment wrapText="1"/>
      <protection hidden="1"/>
    </xf>
    <xf numFmtId="216" fontId="21" fillId="0" borderId="0" xfId="165" applyNumberFormat="1" applyFont="1" applyFill="1" applyBorder="1" applyAlignment="1" applyProtection="1">
      <alignment wrapText="1"/>
      <protection hidden="1"/>
    </xf>
    <xf numFmtId="188" fontId="26" fillId="23" borderId="1" xfId="166" applyNumberFormat="1" applyFont="1" applyFill="1" applyBorder="1" applyAlignment="1" applyProtection="1">
      <alignment horizontal="right" vertical="center" wrapText="1"/>
      <protection hidden="1"/>
    </xf>
    <xf numFmtId="215" fontId="21" fillId="0" borderId="1" xfId="165" applyNumberFormat="1" applyFont="1" applyFill="1" applyBorder="1" applyAlignment="1" applyProtection="1">
      <alignment wrapText="1"/>
      <protection hidden="1"/>
    </xf>
    <xf numFmtId="216" fontId="21" fillId="0" borderId="1" xfId="165" applyNumberFormat="1" applyFont="1" applyFill="1" applyBorder="1" applyAlignment="1" applyProtection="1">
      <alignment wrapText="1"/>
      <protection hidden="1"/>
    </xf>
    <xf numFmtId="9" fontId="21" fillId="0" borderId="1" xfId="163" applyFont="1" applyFill="1" applyBorder="1" applyAlignment="1" applyProtection="1">
      <alignment wrapText="1"/>
      <protection hidden="1"/>
    </xf>
    <xf numFmtId="0" fontId="26" fillId="0" borderId="1" xfId="167" applyFont="1" applyBorder="1" applyAlignment="1" applyProtection="1">
      <alignment wrapText="1"/>
      <protection hidden="1"/>
    </xf>
    <xf numFmtId="9" fontId="21" fillId="23" borderId="1" xfId="163" applyFont="1" applyFill="1" applyBorder="1" applyAlignment="1" applyProtection="1">
      <alignment wrapText="1"/>
      <protection hidden="1"/>
    </xf>
    <xf numFmtId="185" fontId="26" fillId="0" borderId="1" xfId="166" applyNumberFormat="1" applyFont="1" applyBorder="1" applyAlignment="1" applyProtection="1">
      <alignment wrapText="1"/>
      <protection hidden="1"/>
    </xf>
    <xf numFmtId="188" fontId="23" fillId="46" borderId="1" xfId="166" applyNumberFormat="1" applyFont="1" applyFill="1" applyBorder="1" applyAlignment="1" applyProtection="1">
      <alignment horizontal="right" vertical="center" wrapText="1"/>
      <protection hidden="1"/>
    </xf>
    <xf numFmtId="215" fontId="23" fillId="46" borderId="1" xfId="165" applyNumberFormat="1" applyFont="1" applyFill="1" applyBorder="1" applyAlignment="1" applyProtection="1">
      <alignment wrapText="1"/>
      <protection hidden="1"/>
    </xf>
    <xf numFmtId="216" fontId="23" fillId="0" borderId="1" xfId="165" applyNumberFormat="1" applyFont="1" applyFill="1" applyBorder="1" applyAlignment="1" applyProtection="1">
      <alignment wrapText="1"/>
      <protection hidden="1"/>
    </xf>
    <xf numFmtId="215" fontId="23" fillId="0" borderId="1" xfId="165" applyNumberFormat="1" applyFont="1" applyFill="1" applyBorder="1" applyAlignment="1" applyProtection="1">
      <alignment wrapText="1"/>
      <protection hidden="1"/>
    </xf>
    <xf numFmtId="0" fontId="23" fillId="0" borderId="1" xfId="167" applyFont="1" applyBorder="1" applyAlignment="1" applyProtection="1">
      <alignment wrapText="1"/>
      <protection hidden="1"/>
    </xf>
    <xf numFmtId="9" fontId="23" fillId="46" borderId="1" xfId="163" applyFont="1" applyFill="1" applyBorder="1" applyAlignment="1" applyProtection="1">
      <alignment wrapText="1"/>
      <protection hidden="1"/>
    </xf>
    <xf numFmtId="217" fontId="26" fillId="0" borderId="0" xfId="167" applyNumberFormat="1" applyFont="1" applyAlignment="1" applyProtection="1">
      <alignment horizontal="right" vertical="center" wrapText="1"/>
      <protection hidden="1"/>
    </xf>
    <xf numFmtId="217" fontId="21" fillId="23" borderId="0" xfId="165" applyNumberFormat="1" applyFont="1" applyFill="1" applyBorder="1" applyAlignment="1" applyProtection="1">
      <alignment wrapText="1"/>
      <protection hidden="1"/>
    </xf>
    <xf numFmtId="217" fontId="26" fillId="0" borderId="1" xfId="167" applyNumberFormat="1" applyFont="1" applyBorder="1" applyAlignment="1" applyProtection="1">
      <alignment horizontal="right" vertical="center" wrapText="1"/>
      <protection hidden="1"/>
    </xf>
    <xf numFmtId="217" fontId="21" fillId="0" borderId="0" xfId="165" applyNumberFormat="1" applyFont="1" applyFill="1" applyBorder="1" applyAlignment="1" applyProtection="1">
      <alignment wrapText="1"/>
      <protection hidden="1"/>
    </xf>
    <xf numFmtId="217" fontId="21" fillId="0" borderId="1" xfId="165" applyNumberFormat="1" applyFont="1" applyFill="1" applyBorder="1" applyAlignment="1" applyProtection="1">
      <alignment wrapText="1"/>
      <protection hidden="1"/>
    </xf>
    <xf numFmtId="9" fontId="23" fillId="0" borderId="1" xfId="163" applyFont="1" applyFill="1" applyBorder="1" applyAlignment="1" applyProtection="1">
      <alignment wrapText="1"/>
      <protection hidden="1"/>
    </xf>
    <xf numFmtId="217" fontId="23" fillId="0" borderId="1" xfId="165" applyNumberFormat="1" applyFont="1" applyFill="1" applyBorder="1" applyAlignment="1" applyProtection="1">
      <alignment wrapText="1"/>
      <protection hidden="1"/>
    </xf>
    <xf numFmtId="185" fontId="23" fillId="0" borderId="1" xfId="166" applyNumberFormat="1" applyFont="1" applyBorder="1" applyAlignment="1" applyProtection="1">
      <alignment wrapText="1"/>
      <protection hidden="1"/>
    </xf>
    <xf numFmtId="217" fontId="23" fillId="46" borderId="1" xfId="167" applyNumberFormat="1" applyFont="1" applyFill="1" applyBorder="1" applyAlignment="1" applyProtection="1">
      <alignment horizontal="right" vertical="center" wrapText="1"/>
      <protection hidden="1"/>
    </xf>
    <xf numFmtId="165" fontId="21" fillId="0" borderId="0" xfId="163" applyNumberFormat="1" applyFont="1" applyBorder="1" applyAlignment="1" applyProtection="1">
      <alignment horizontal="center" vertical="center" wrapText="1"/>
      <protection hidden="1"/>
    </xf>
    <xf numFmtId="165" fontId="15" fillId="0" borderId="0" xfId="0" applyNumberFormat="1" applyFont="1" applyAlignment="1">
      <alignment vertical="center"/>
    </xf>
    <xf numFmtId="165" fontId="21" fillId="0" borderId="0" xfId="161" applyNumberFormat="1" applyFont="1" applyAlignment="1" applyProtection="1">
      <alignment horizontal="right" vertical="center" wrapText="1"/>
      <protection hidden="1"/>
    </xf>
    <xf numFmtId="165" fontId="21" fillId="6" borderId="1" xfId="163" applyNumberFormat="1" applyFont="1" applyFill="1" applyBorder="1" applyAlignment="1" applyProtection="1">
      <alignment horizontal="center" vertical="center" wrapText="1"/>
      <protection hidden="1"/>
    </xf>
    <xf numFmtId="165" fontId="47" fillId="6" borderId="1" xfId="163" applyNumberFormat="1" applyFont="1" applyFill="1" applyBorder="1" applyAlignment="1" applyProtection="1">
      <alignment horizontal="center" vertical="center" shrinkToFit="1"/>
      <protection hidden="1"/>
    </xf>
    <xf numFmtId="165" fontId="47" fillId="6" borderId="1" xfId="163" applyNumberFormat="1" applyFont="1" applyFill="1" applyBorder="1" applyAlignment="1" applyProtection="1">
      <alignment horizontal="center" vertical="center" wrapText="1"/>
      <protection hidden="1"/>
    </xf>
    <xf numFmtId="166" fontId="36" fillId="0" borderId="0" xfId="161" applyNumberFormat="1" applyFont="1" applyAlignment="1" applyProtection="1">
      <alignment horizontal="right" vertical="center" shrinkToFit="1"/>
      <protection hidden="1"/>
    </xf>
    <xf numFmtId="218" fontId="22" fillId="0" borderId="0" xfId="161" applyNumberFormat="1" applyFont="1" applyAlignment="1" applyProtection="1">
      <alignment horizontal="center" vertical="center" wrapText="1"/>
      <protection hidden="1"/>
    </xf>
    <xf numFmtId="7" fontId="20" fillId="0" borderId="0" xfId="161" applyNumberFormat="1" applyFont="1" applyAlignment="1" applyProtection="1">
      <alignment horizontal="center" vertical="center" wrapText="1"/>
      <protection hidden="1"/>
    </xf>
    <xf numFmtId="2" fontId="24" fillId="0" borderId="0" xfId="163" applyNumberFormat="1" applyFont="1" applyFill="1" applyBorder="1" applyAlignment="1" applyProtection="1">
      <alignment horizontal="center" vertical="center" wrapText="1"/>
      <protection hidden="1"/>
    </xf>
    <xf numFmtId="182" fontId="21" fillId="46" borderId="0" xfId="166" applyNumberFormat="1" applyFont="1" applyFill="1" applyAlignment="1" applyProtection="1">
      <alignment horizontal="right" wrapText="1"/>
      <protection locked="0" hidden="1"/>
    </xf>
    <xf numFmtId="176" fontId="23" fillId="0" borderId="0" xfId="161" applyNumberFormat="1" applyFont="1" applyAlignment="1" applyProtection="1">
      <alignment horizontal="left" vertical="center"/>
      <protection locked="0" hidden="1"/>
    </xf>
    <xf numFmtId="0" fontId="23" fillId="0" borderId="0" xfId="161" applyFont="1" applyAlignment="1" applyProtection="1">
      <alignment horizontal="left" vertical="center" wrapText="1"/>
      <protection hidden="1"/>
    </xf>
    <xf numFmtId="0" fontId="27" fillId="6" borderId="0" xfId="161" applyFont="1" applyFill="1" applyAlignment="1" applyProtection="1">
      <alignment horizontal="center" wrapText="1" shrinkToFit="1"/>
      <protection hidden="1"/>
    </xf>
    <xf numFmtId="0" fontId="15" fillId="0" borderId="0" xfId="0" applyFont="1" applyAlignment="1">
      <alignment horizontal="center"/>
    </xf>
    <xf numFmtId="2" fontId="26" fillId="0" borderId="0" xfId="161" applyNumberFormat="1" applyFont="1" applyAlignment="1" applyProtection="1">
      <alignment horizontal="center" vertical="center" shrinkToFit="1"/>
      <protection hidden="1"/>
    </xf>
    <xf numFmtId="2" fontId="31" fillId="20" borderId="0" xfId="165" applyNumberFormat="1" applyFont="1" applyFill="1" applyBorder="1" applyAlignment="1" applyProtection="1">
      <alignment horizontal="center" vertical="center"/>
      <protection hidden="1"/>
    </xf>
    <xf numFmtId="0" fontId="34" fillId="0" borderId="0" xfId="161" applyFont="1" applyAlignment="1" applyProtection="1">
      <alignment horizontal="right" vertical="center" wrapText="1"/>
      <protection hidden="1"/>
    </xf>
    <xf numFmtId="165" fontId="34" fillId="0" borderId="0" xfId="157" applyNumberFormat="1" applyFont="1" applyFill="1" applyBorder="1" applyAlignment="1" applyProtection="1">
      <alignment horizontal="center" vertical="center" wrapText="1"/>
      <protection hidden="1"/>
    </xf>
    <xf numFmtId="171" fontId="26" fillId="46" borderId="0" xfId="167" applyNumberFormat="1" applyFont="1" applyFill="1" applyAlignment="1" applyProtection="1">
      <alignment horizontal="center" vertical="center" wrapText="1"/>
      <protection hidden="1"/>
    </xf>
    <xf numFmtId="171" fontId="26" fillId="23" borderId="0" xfId="167" applyNumberFormat="1" applyFont="1" applyFill="1" applyAlignment="1" applyProtection="1">
      <alignment horizontal="center" vertical="center" wrapText="1"/>
      <protection hidden="1"/>
    </xf>
    <xf numFmtId="171" fontId="27" fillId="6" borderId="0" xfId="161" applyNumberFormat="1" applyFont="1" applyFill="1" applyAlignment="1" applyProtection="1">
      <alignment horizontal="center" vertical="center" wrapText="1"/>
      <protection hidden="1"/>
    </xf>
    <xf numFmtId="171" fontId="26" fillId="6" borderId="0" xfId="161" applyNumberFormat="1" applyFont="1" applyFill="1" applyAlignment="1" applyProtection="1">
      <alignment horizontal="center" vertical="center" wrapText="1"/>
      <protection hidden="1"/>
    </xf>
    <xf numFmtId="185" fontId="31" fillId="46" borderId="0" xfId="167" applyNumberFormat="1" applyFont="1" applyFill="1" applyAlignment="1" applyProtection="1">
      <alignment horizontal="right" vertical="center" wrapText="1"/>
      <protection hidden="1"/>
    </xf>
    <xf numFmtId="185" fontId="26" fillId="7" borderId="4" xfId="167" applyNumberFormat="1" applyFont="1" applyFill="1" applyBorder="1" applyAlignment="1" applyProtection="1">
      <alignment horizontal="right" vertical="center" wrapText="1"/>
      <protection hidden="1"/>
    </xf>
    <xf numFmtId="185" fontId="31" fillId="7" borderId="8" xfId="167" applyNumberFormat="1" applyFont="1" applyFill="1" applyBorder="1" applyAlignment="1" applyProtection="1">
      <alignment horizontal="right" vertical="center" wrapText="1"/>
      <protection hidden="1"/>
    </xf>
    <xf numFmtId="185" fontId="31" fillId="7" borderId="9" xfId="167" applyNumberFormat="1" applyFont="1" applyFill="1" applyBorder="1" applyAlignment="1" applyProtection="1">
      <alignment horizontal="right" vertical="center" wrapText="1"/>
      <protection hidden="1"/>
    </xf>
    <xf numFmtId="185" fontId="26" fillId="6" borderId="2" xfId="167" applyNumberFormat="1" applyFont="1" applyFill="1" applyBorder="1" applyAlignment="1" applyProtection="1">
      <alignment horizontal="right" vertical="center" wrapText="1"/>
      <protection hidden="1"/>
    </xf>
    <xf numFmtId="185" fontId="31" fillId="46" borderId="17" xfId="167" applyNumberFormat="1" applyFont="1" applyFill="1" applyBorder="1" applyAlignment="1" applyProtection="1">
      <alignment horizontal="right" vertical="center" wrapText="1"/>
      <protection hidden="1"/>
    </xf>
    <xf numFmtId="185" fontId="31" fillId="23" borderId="17" xfId="167" applyNumberFormat="1" applyFont="1" applyFill="1" applyBorder="1" applyAlignment="1" applyProtection="1">
      <alignment horizontal="right" vertical="center" wrapText="1"/>
      <protection hidden="1"/>
    </xf>
    <xf numFmtId="185" fontId="31" fillId="7" borderId="19" xfId="167" applyNumberFormat="1" applyFont="1" applyFill="1" applyBorder="1" applyAlignment="1" applyProtection="1">
      <alignment horizontal="right" vertical="center" wrapText="1"/>
      <protection hidden="1"/>
    </xf>
    <xf numFmtId="185" fontId="47" fillId="6" borderId="12" xfId="167" applyNumberFormat="1" applyFont="1" applyFill="1" applyBorder="1" applyAlignment="1" applyProtection="1">
      <alignment horizontal="right" vertical="center" shrinkToFit="1"/>
      <protection hidden="1"/>
    </xf>
    <xf numFmtId="185" fontId="31" fillId="23" borderId="0" xfId="167" applyNumberFormat="1" applyFont="1" applyFill="1" applyAlignment="1" applyProtection="1">
      <alignment horizontal="right" vertical="center" wrapText="1"/>
      <protection hidden="1"/>
    </xf>
    <xf numFmtId="185" fontId="31" fillId="7" borderId="4" xfId="167" applyNumberFormat="1" applyFont="1" applyFill="1" applyBorder="1" applyAlignment="1" applyProtection="1">
      <alignment horizontal="right" vertical="center" wrapText="1"/>
      <protection hidden="1"/>
    </xf>
    <xf numFmtId="185" fontId="26" fillId="23" borderId="4" xfId="167" applyNumberFormat="1" applyFont="1" applyFill="1" applyBorder="1" applyAlignment="1" applyProtection="1">
      <alignment horizontal="right" vertical="center" wrapText="1"/>
      <protection hidden="1"/>
    </xf>
    <xf numFmtId="185" fontId="31" fillId="7" borderId="39" xfId="167" applyNumberFormat="1" applyFont="1" applyFill="1" applyBorder="1" applyAlignment="1" applyProtection="1">
      <alignment horizontal="right" vertical="center" wrapText="1"/>
      <protection hidden="1"/>
    </xf>
    <xf numFmtId="185" fontId="31" fillId="3" borderId="8" xfId="167" applyNumberFormat="1" applyFont="1" applyFill="1" applyBorder="1" applyAlignment="1" applyProtection="1">
      <alignment horizontal="right" vertical="center" wrapText="1"/>
      <protection hidden="1"/>
    </xf>
    <xf numFmtId="185" fontId="31" fillId="3" borderId="9" xfId="167" applyNumberFormat="1" applyFont="1" applyFill="1" applyBorder="1" applyAlignment="1" applyProtection="1">
      <alignment horizontal="right" vertical="center" wrapText="1"/>
      <protection hidden="1"/>
    </xf>
    <xf numFmtId="185" fontId="31" fillId="3" borderId="2" xfId="167" applyNumberFormat="1" applyFont="1" applyFill="1" applyBorder="1" applyAlignment="1" applyProtection="1">
      <alignment horizontal="right" vertical="center" wrapText="1"/>
      <protection hidden="1"/>
    </xf>
    <xf numFmtId="185" fontId="31" fillId="12" borderId="8" xfId="167" applyNumberFormat="1" applyFont="1" applyFill="1" applyBorder="1" applyAlignment="1" applyProtection="1">
      <alignment horizontal="right" vertical="center" wrapText="1"/>
      <protection hidden="1"/>
    </xf>
    <xf numFmtId="185" fontId="31" fillId="12" borderId="9" xfId="167" applyNumberFormat="1" applyFont="1" applyFill="1" applyBorder="1" applyAlignment="1" applyProtection="1">
      <alignment horizontal="right" vertical="center" wrapText="1"/>
      <protection hidden="1"/>
    </xf>
    <xf numFmtId="185" fontId="31" fillId="12" borderId="2" xfId="167" applyNumberFormat="1" applyFont="1" applyFill="1" applyBorder="1" applyAlignment="1" applyProtection="1">
      <alignment horizontal="right" vertical="center" wrapText="1"/>
      <protection hidden="1"/>
    </xf>
    <xf numFmtId="185" fontId="31" fillId="14" borderId="8" xfId="167" applyNumberFormat="1" applyFont="1" applyFill="1" applyBorder="1" applyAlignment="1" applyProtection="1">
      <alignment horizontal="right" vertical="center" wrapText="1"/>
      <protection hidden="1"/>
    </xf>
    <xf numFmtId="185" fontId="31" fillId="14" borderId="9" xfId="167" applyNumberFormat="1" applyFont="1" applyFill="1" applyBorder="1" applyAlignment="1" applyProtection="1">
      <alignment horizontal="right" vertical="center" wrapText="1"/>
      <protection hidden="1"/>
    </xf>
    <xf numFmtId="185" fontId="31" fillId="14" borderId="2" xfId="167" applyNumberFormat="1" applyFont="1" applyFill="1" applyBorder="1" applyAlignment="1" applyProtection="1">
      <alignment horizontal="right" vertical="center" wrapText="1"/>
      <protection hidden="1"/>
    </xf>
    <xf numFmtId="185" fontId="31" fillId="23" borderId="6" xfId="167" applyNumberFormat="1" applyFont="1" applyFill="1" applyBorder="1" applyAlignment="1" applyProtection="1">
      <alignment horizontal="right" vertical="center" wrapText="1"/>
      <protection hidden="1"/>
    </xf>
    <xf numFmtId="185" fontId="31" fillId="7" borderId="5" xfId="167" applyNumberFormat="1" applyFont="1" applyFill="1" applyBorder="1" applyAlignment="1" applyProtection="1">
      <alignment horizontal="right" vertical="center" wrapText="1"/>
      <protection hidden="1"/>
    </xf>
    <xf numFmtId="185" fontId="26" fillId="23" borderId="5" xfId="167" applyNumberFormat="1" applyFont="1" applyFill="1" applyBorder="1" applyAlignment="1" applyProtection="1">
      <alignment horizontal="right" vertical="center" wrapText="1"/>
      <protection hidden="1"/>
    </xf>
    <xf numFmtId="185" fontId="31" fillId="7" borderId="34" xfId="167" applyNumberFormat="1" applyFont="1" applyFill="1" applyBorder="1" applyAlignment="1" applyProtection="1">
      <alignment horizontal="right" vertical="center" wrapText="1"/>
      <protection hidden="1"/>
    </xf>
    <xf numFmtId="185" fontId="31" fillId="46" borderId="1" xfId="167" applyNumberFormat="1" applyFont="1" applyFill="1" applyBorder="1" applyAlignment="1" applyProtection="1">
      <alignment horizontal="right" vertical="center" wrapText="1"/>
      <protection hidden="1"/>
    </xf>
    <xf numFmtId="185" fontId="31" fillId="15" borderId="8" xfId="167" applyNumberFormat="1" applyFont="1" applyFill="1" applyBorder="1" applyAlignment="1" applyProtection="1">
      <alignment horizontal="right" vertical="center" wrapText="1"/>
      <protection hidden="1"/>
    </xf>
    <xf numFmtId="185" fontId="31" fillId="15" borderId="9" xfId="167" applyNumberFormat="1" applyFont="1" applyFill="1" applyBorder="1" applyAlignment="1" applyProtection="1">
      <alignment horizontal="right" vertical="center" wrapText="1"/>
      <protection hidden="1"/>
    </xf>
    <xf numFmtId="185" fontId="31" fillId="15" borderId="2" xfId="167" applyNumberFormat="1" applyFont="1" applyFill="1" applyBorder="1" applyAlignment="1" applyProtection="1">
      <alignment horizontal="right" vertical="center" wrapText="1"/>
      <protection hidden="1"/>
    </xf>
    <xf numFmtId="185" fontId="31" fillId="7" borderId="10" xfId="167" applyNumberFormat="1" applyFont="1" applyFill="1" applyBorder="1" applyAlignment="1" applyProtection="1">
      <alignment horizontal="right" vertical="center" wrapText="1"/>
      <protection hidden="1"/>
    </xf>
    <xf numFmtId="185" fontId="31" fillId="7" borderId="11" xfId="167" applyNumberFormat="1" applyFont="1" applyFill="1" applyBorder="1" applyAlignment="1" applyProtection="1">
      <alignment horizontal="right" vertical="center" wrapText="1"/>
      <protection hidden="1"/>
    </xf>
    <xf numFmtId="185" fontId="31" fillId="7" borderId="21" xfId="167" applyNumberFormat="1" applyFont="1" applyFill="1" applyBorder="1" applyAlignment="1" applyProtection="1">
      <alignment horizontal="right" vertical="center" wrapText="1"/>
      <protection hidden="1"/>
    </xf>
    <xf numFmtId="185" fontId="47" fillId="6" borderId="107" xfId="167" applyNumberFormat="1" applyFont="1" applyFill="1" applyBorder="1" applyAlignment="1" applyProtection="1">
      <alignment horizontal="right" vertical="center" shrinkToFit="1"/>
      <protection hidden="1"/>
    </xf>
    <xf numFmtId="185" fontId="26" fillId="3" borderId="24" xfId="167" applyNumberFormat="1" applyFont="1" applyFill="1" applyBorder="1" applyAlignment="1" applyProtection="1">
      <alignment horizontal="right" vertical="center"/>
      <protection hidden="1"/>
    </xf>
    <xf numFmtId="185" fontId="26" fillId="12" borderId="4" xfId="167" applyNumberFormat="1" applyFont="1" applyFill="1" applyBorder="1" applyAlignment="1" applyProtection="1">
      <alignment horizontal="right" vertical="center"/>
      <protection hidden="1"/>
    </xf>
    <xf numFmtId="185" fontId="26" fillId="14" borderId="5" xfId="167" applyNumberFormat="1" applyFont="1" applyFill="1" applyBorder="1" applyAlignment="1" applyProtection="1">
      <alignment horizontal="right" vertical="center"/>
      <protection hidden="1"/>
    </xf>
    <xf numFmtId="185" fontId="27" fillId="6" borderId="0" xfId="167" applyNumberFormat="1" applyFont="1" applyFill="1" applyAlignment="1" applyProtection="1">
      <alignment horizontal="right" vertical="center" wrapText="1"/>
      <protection hidden="1"/>
    </xf>
    <xf numFmtId="185" fontId="47" fillId="3" borderId="8" xfId="167" applyNumberFormat="1" applyFont="1" applyFill="1" applyBorder="1" applyAlignment="1" applyProtection="1">
      <alignment horizontal="right" vertical="center" wrapText="1"/>
      <protection hidden="1"/>
    </xf>
    <xf numFmtId="185" fontId="47" fillId="12" borderId="8" xfId="167" applyNumberFormat="1" applyFont="1" applyFill="1" applyBorder="1" applyAlignment="1" applyProtection="1">
      <alignment horizontal="right" vertical="center" wrapText="1"/>
      <protection hidden="1"/>
    </xf>
    <xf numFmtId="185" fontId="47" fillId="14" borderId="8" xfId="167" applyNumberFormat="1" applyFont="1" applyFill="1" applyBorder="1" applyAlignment="1" applyProtection="1">
      <alignment horizontal="right" vertical="center" wrapText="1"/>
      <protection hidden="1"/>
    </xf>
    <xf numFmtId="185" fontId="27" fillId="6" borderId="43" xfId="167" applyNumberFormat="1" applyFont="1" applyFill="1" applyBorder="1" applyAlignment="1" applyProtection="1">
      <alignment horizontal="right" vertical="center" wrapText="1"/>
      <protection hidden="1"/>
    </xf>
    <xf numFmtId="185" fontId="47" fillId="15" borderId="8" xfId="167" applyNumberFormat="1" applyFont="1" applyFill="1" applyBorder="1" applyAlignment="1" applyProtection="1">
      <alignment horizontal="right" vertical="center" wrapText="1"/>
      <protection hidden="1"/>
    </xf>
    <xf numFmtId="185" fontId="47" fillId="7" borderId="10" xfId="167" applyNumberFormat="1" applyFont="1" applyFill="1" applyBorder="1" applyAlignment="1" applyProtection="1">
      <alignment horizontal="right" vertical="center" wrapText="1"/>
      <protection hidden="1"/>
    </xf>
    <xf numFmtId="185" fontId="26" fillId="6" borderId="8" xfId="167" applyNumberFormat="1" applyFont="1" applyFill="1" applyBorder="1" applyAlignment="1" applyProtection="1">
      <alignment horizontal="right" vertical="center" wrapText="1"/>
      <protection hidden="1"/>
    </xf>
    <xf numFmtId="171" fontId="26" fillId="23" borderId="6" xfId="167" applyNumberFormat="1" applyFont="1" applyFill="1" applyBorder="1" applyAlignment="1" applyProtection="1">
      <alignment horizontal="center" vertical="center" wrapText="1"/>
      <protection hidden="1"/>
    </xf>
    <xf numFmtId="185" fontId="31" fillId="46" borderId="29" xfId="167" applyNumberFormat="1" applyFont="1" applyFill="1" applyBorder="1" applyAlignment="1" applyProtection="1">
      <alignment horizontal="right" vertical="center" wrapText="1"/>
      <protection hidden="1"/>
    </xf>
    <xf numFmtId="185" fontId="31" fillId="23" borderId="29" xfId="167" applyNumberFormat="1" applyFont="1" applyFill="1" applyBorder="1" applyAlignment="1" applyProtection="1">
      <alignment horizontal="right" vertical="center" wrapText="1"/>
      <protection hidden="1"/>
    </xf>
    <xf numFmtId="185" fontId="31" fillId="23" borderId="43" xfId="167" applyNumberFormat="1" applyFont="1" applyFill="1" applyBorder="1" applyAlignment="1" applyProtection="1">
      <alignment horizontal="right" vertical="center" wrapText="1"/>
      <protection hidden="1"/>
    </xf>
    <xf numFmtId="185" fontId="31" fillId="37" borderId="0" xfId="167" applyNumberFormat="1" applyFont="1" applyFill="1" applyAlignment="1" applyProtection="1">
      <alignment horizontal="right" vertical="center" wrapText="1"/>
      <protection hidden="1"/>
    </xf>
    <xf numFmtId="185" fontId="31" fillId="0" borderId="0" xfId="167" applyNumberFormat="1" applyFont="1" applyAlignment="1" applyProtection="1">
      <alignment horizontal="right" vertical="center" wrapText="1"/>
      <protection hidden="1"/>
    </xf>
    <xf numFmtId="166" fontId="21" fillId="19" borderId="2" xfId="161" applyNumberFormat="1" applyFont="1" applyFill="1" applyBorder="1" applyAlignment="1" applyProtection="1">
      <alignment horizontal="right" vertical="center" wrapText="1"/>
      <protection locked="0" hidden="1"/>
    </xf>
    <xf numFmtId="166" fontId="32" fillId="7" borderId="0" xfId="161" applyNumberFormat="1" applyFont="1" applyFill="1" applyAlignment="1" applyProtection="1">
      <alignment horizontal="right" vertical="center" shrinkToFit="1"/>
      <protection hidden="1"/>
    </xf>
    <xf numFmtId="166" fontId="21" fillId="0" borderId="0" xfId="161" applyNumberFormat="1" applyFont="1" applyAlignment="1" applyProtection="1">
      <alignment horizontal="right" vertical="center" wrapText="1"/>
      <protection hidden="1"/>
    </xf>
    <xf numFmtId="166" fontId="22" fillId="6" borderId="0" xfId="161" applyNumberFormat="1" applyFont="1" applyFill="1" applyAlignment="1" applyProtection="1">
      <alignment horizontal="right" vertical="center" shrinkToFit="1"/>
      <protection hidden="1"/>
    </xf>
    <xf numFmtId="166" fontId="24" fillId="0" borderId="0" xfId="161" applyNumberFormat="1" applyFont="1" applyAlignment="1" applyProtection="1">
      <alignment horizontal="right" vertical="center"/>
      <protection hidden="1"/>
    </xf>
    <xf numFmtId="166" fontId="0" fillId="0" borderId="0" xfId="0" applyNumberFormat="1"/>
    <xf numFmtId="166" fontId="26" fillId="0" borderId="0" xfId="161" applyNumberFormat="1" applyFont="1" applyAlignment="1" applyProtection="1">
      <alignment horizontal="right" vertical="center" wrapText="1"/>
      <protection hidden="1"/>
    </xf>
    <xf numFmtId="166" fontId="22" fillId="6" borderId="0" xfId="161" applyNumberFormat="1" applyFont="1" applyFill="1" applyAlignment="1" applyProtection="1">
      <alignment vertical="center" shrinkToFit="1"/>
      <protection hidden="1"/>
    </xf>
    <xf numFmtId="185" fontId="21" fillId="0" borderId="0" xfId="161" applyNumberFormat="1" applyFont="1" applyAlignment="1" applyProtection="1">
      <alignment horizontal="right" vertical="center" wrapText="1"/>
      <protection hidden="1"/>
    </xf>
    <xf numFmtId="166" fontId="0" fillId="0" borderId="0" xfId="0" applyNumberFormat="1" applyAlignment="1">
      <alignment vertical="center"/>
    </xf>
    <xf numFmtId="166" fontId="31" fillId="7" borderId="0" xfId="161" applyNumberFormat="1" applyFont="1" applyFill="1" applyAlignment="1" applyProtection="1">
      <alignment horizontal="right" vertical="center" shrinkToFit="1"/>
      <protection hidden="1"/>
    </xf>
    <xf numFmtId="166" fontId="47" fillId="6" borderId="1" xfId="161" applyNumberFormat="1" applyFont="1" applyFill="1" applyBorder="1" applyAlignment="1" applyProtection="1">
      <alignment horizontal="right" vertical="center" shrinkToFit="1"/>
      <protection hidden="1"/>
    </xf>
    <xf numFmtId="166" fontId="15" fillId="0" borderId="0" xfId="0" applyNumberFormat="1" applyFont="1" applyAlignment="1">
      <alignment vertical="center"/>
    </xf>
    <xf numFmtId="166" fontId="31" fillId="7" borderId="0" xfId="161" applyNumberFormat="1" applyFont="1" applyFill="1" applyAlignment="1" applyProtection="1">
      <alignment horizontal="right" vertical="center" wrapText="1"/>
      <protection hidden="1"/>
    </xf>
    <xf numFmtId="166" fontId="22" fillId="6" borderId="6" xfId="161" applyNumberFormat="1" applyFont="1" applyFill="1" applyBorder="1" applyAlignment="1" applyProtection="1">
      <alignment horizontal="center" wrapText="1" shrinkToFit="1"/>
      <protection hidden="1"/>
    </xf>
    <xf numFmtId="166" fontId="26" fillId="7" borderId="0" xfId="161" applyNumberFormat="1" applyFont="1" applyFill="1" applyAlignment="1" applyProtection="1">
      <alignment horizontal="right" vertical="center" wrapText="1"/>
      <protection hidden="1"/>
    </xf>
    <xf numFmtId="166" fontId="26" fillId="19" borderId="2" xfId="161" applyNumberFormat="1" applyFont="1" applyFill="1" applyBorder="1" applyAlignment="1" applyProtection="1">
      <alignment horizontal="right" vertical="center" wrapText="1"/>
      <protection locked="0" hidden="1"/>
    </xf>
    <xf numFmtId="185" fontId="27" fillId="49" borderId="12" xfId="167" applyNumberFormat="1" applyFont="1" applyFill="1" applyBorder="1" applyAlignment="1" applyProtection="1">
      <alignment horizontal="right" vertical="center" shrinkToFit="1"/>
      <protection hidden="1"/>
    </xf>
    <xf numFmtId="183" fontId="26" fillId="23" borderId="17" xfId="167" applyNumberFormat="1" applyFont="1" applyFill="1" applyBorder="1" applyAlignment="1" applyProtection="1">
      <alignment horizontal="center" vertical="center" wrapText="1"/>
      <protection hidden="1"/>
    </xf>
    <xf numFmtId="185" fontId="26" fillId="0" borderId="0" xfId="161" applyNumberFormat="1" applyFont="1" applyAlignment="1" applyProtection="1">
      <alignment horizontal="right" vertical="center" wrapText="1"/>
      <protection hidden="1"/>
    </xf>
    <xf numFmtId="1" fontId="21" fillId="0" borderId="14" xfId="166" applyNumberFormat="1" applyFont="1" applyBorder="1" applyAlignment="1" applyProtection="1">
      <alignment horizontal="center" vertical="center" wrapText="1"/>
      <protection hidden="1"/>
    </xf>
    <xf numFmtId="1" fontId="21" fillId="0" borderId="14" xfId="166" applyNumberFormat="1" applyFont="1" applyBorder="1" applyAlignment="1" applyProtection="1">
      <alignment horizontal="right" vertical="center" wrapText="1"/>
      <protection hidden="1"/>
    </xf>
    <xf numFmtId="1" fontId="21" fillId="0" borderId="20" xfId="166" applyNumberFormat="1" applyFont="1" applyBorder="1" applyAlignment="1" applyProtection="1">
      <alignment horizontal="center" vertical="center" wrapText="1"/>
      <protection hidden="1"/>
    </xf>
    <xf numFmtId="1" fontId="21" fillId="0" borderId="20" xfId="166" applyNumberFormat="1" applyFont="1" applyBorder="1" applyAlignment="1" applyProtection="1">
      <alignment horizontal="right" vertical="center" wrapText="1"/>
      <protection hidden="1"/>
    </xf>
    <xf numFmtId="0" fontId="35" fillId="0" borderId="20" xfId="166" applyFont="1" applyBorder="1" applyAlignment="1" applyProtection="1">
      <alignment horizontal="center" vertical="center" wrapText="1"/>
      <protection hidden="1"/>
    </xf>
    <xf numFmtId="0" fontId="35" fillId="0" borderId="20" xfId="166" applyFont="1" applyBorder="1" applyAlignment="1" applyProtection="1">
      <alignment horizontal="left" vertical="center"/>
      <protection hidden="1"/>
    </xf>
    <xf numFmtId="193" fontId="25" fillId="19" borderId="5" xfId="166" applyNumberFormat="1" applyFont="1" applyFill="1" applyBorder="1" applyAlignment="1" applyProtection="1">
      <alignment horizontal="right" vertical="center" shrinkToFit="1"/>
      <protection locked="0"/>
    </xf>
    <xf numFmtId="0" fontId="79" fillId="0" borderId="57" xfId="166" applyFont="1" applyBorder="1" applyAlignment="1" applyProtection="1">
      <alignment horizontal="left" vertical="center"/>
      <protection hidden="1"/>
    </xf>
    <xf numFmtId="198" fontId="88" fillId="47" borderId="12" xfId="168" applyNumberFormat="1" applyFont="1" applyBorder="1" applyAlignment="1">
      <alignment horizontal="center" vertical="center" shrinkToFit="1"/>
    </xf>
    <xf numFmtId="199" fontId="89" fillId="48" borderId="12" xfId="169" applyNumberFormat="1" applyFont="1" applyBorder="1" applyAlignment="1">
      <alignment horizontal="center" vertical="center" shrinkToFit="1"/>
    </xf>
    <xf numFmtId="0" fontId="27" fillId="0" borderId="6" xfId="161" applyFont="1" applyBorder="1" applyAlignment="1" applyProtection="1">
      <alignment horizontal="right"/>
      <protection hidden="1"/>
    </xf>
    <xf numFmtId="0" fontId="27" fillId="0" borderId="6" xfId="161" applyFont="1" applyBorder="1" applyAlignment="1" applyProtection="1">
      <alignment horizontal="right" wrapText="1"/>
      <protection hidden="1"/>
    </xf>
    <xf numFmtId="2" fontId="23" fillId="0" borderId="0" xfId="165" applyNumberFormat="1" applyFont="1" applyFill="1" applyBorder="1" applyAlignment="1" applyProtection="1">
      <alignment wrapText="1"/>
      <protection hidden="1"/>
    </xf>
    <xf numFmtId="2" fontId="26" fillId="0" borderId="0" xfId="165" applyNumberFormat="1" applyFont="1" applyFill="1" applyBorder="1" applyAlignment="1" applyProtection="1">
      <alignment wrapText="1"/>
      <protection hidden="1"/>
    </xf>
    <xf numFmtId="2" fontId="26" fillId="0" borderId="6" xfId="165" applyNumberFormat="1" applyFont="1" applyFill="1" applyBorder="1" applyAlignment="1" applyProtection="1">
      <alignment wrapText="1"/>
      <protection hidden="1"/>
    </xf>
    <xf numFmtId="219" fontId="20" fillId="0" borderId="0" xfId="161" applyNumberFormat="1" applyFont="1" applyAlignment="1" applyProtection="1">
      <alignment vertical="center" wrapText="1"/>
      <protection hidden="1"/>
    </xf>
    <xf numFmtId="220" fontId="45" fillId="0" borderId="0" xfId="161" applyNumberFormat="1" applyFont="1" applyAlignment="1" applyProtection="1">
      <alignment horizontal="center" vertical="center" wrapText="1"/>
      <protection hidden="1"/>
    </xf>
    <xf numFmtId="166" fontId="68" fillId="0" borderId="0" xfId="161" applyNumberFormat="1" applyFont="1" applyAlignment="1" applyProtection="1">
      <alignment horizontal="right" vertical="center" shrinkToFit="1"/>
      <protection hidden="1"/>
    </xf>
    <xf numFmtId="166" fontId="68" fillId="0" borderId="29" xfId="161" applyNumberFormat="1" applyFont="1" applyBorder="1" applyAlignment="1" applyProtection="1">
      <alignment horizontal="right" vertical="center" shrinkToFit="1"/>
      <protection hidden="1"/>
    </xf>
    <xf numFmtId="166" fontId="68" fillId="0" borderId="39" xfId="161" applyNumberFormat="1" applyFont="1" applyBorder="1" applyAlignment="1" applyProtection="1">
      <alignment horizontal="right" vertical="center" shrinkToFit="1"/>
      <protection hidden="1"/>
    </xf>
    <xf numFmtId="166" fontId="68" fillId="0" borderId="4" xfId="161" applyNumberFormat="1" applyFont="1" applyBorder="1" applyAlignment="1" applyProtection="1">
      <alignment horizontal="right" vertical="center" shrinkToFit="1"/>
      <protection hidden="1"/>
    </xf>
    <xf numFmtId="166" fontId="69" fillId="0" borderId="0" xfId="161" applyNumberFormat="1" applyFont="1" applyAlignment="1" applyProtection="1">
      <alignment horizontal="right" vertical="center" shrinkToFit="1"/>
      <protection hidden="1"/>
    </xf>
    <xf numFmtId="166" fontId="69" fillId="0" borderId="39" xfId="161" applyNumberFormat="1" applyFont="1" applyBorder="1" applyAlignment="1" applyProtection="1">
      <alignment horizontal="right" vertical="center" shrinkToFit="1"/>
      <protection hidden="1"/>
    </xf>
    <xf numFmtId="166" fontId="69" fillId="0" borderId="4" xfId="161" applyNumberFormat="1" applyFont="1" applyBorder="1" applyAlignment="1" applyProtection="1">
      <alignment horizontal="right" vertical="center" shrinkToFit="1"/>
      <protection hidden="1"/>
    </xf>
    <xf numFmtId="166" fontId="69" fillId="0" borderId="29" xfId="161" applyNumberFormat="1" applyFont="1" applyBorder="1" applyAlignment="1" applyProtection="1">
      <alignment horizontal="right" vertical="center" shrinkToFit="1"/>
      <protection hidden="1"/>
    </xf>
    <xf numFmtId="166" fontId="70" fillId="3" borderId="0" xfId="161" applyNumberFormat="1" applyFont="1" applyFill="1" applyAlignment="1" applyProtection="1">
      <alignment horizontal="right" vertical="center" shrinkToFit="1"/>
      <protection hidden="1"/>
    </xf>
    <xf numFmtId="166" fontId="70" fillId="3" borderId="39" xfId="161" applyNumberFormat="1" applyFont="1" applyFill="1" applyBorder="1" applyAlignment="1" applyProtection="1">
      <alignment horizontal="right" vertical="center" shrinkToFit="1"/>
      <protection hidden="1"/>
    </xf>
    <xf numFmtId="166" fontId="70" fillId="3" borderId="4" xfId="161" applyNumberFormat="1" applyFont="1" applyFill="1" applyBorder="1" applyAlignment="1" applyProtection="1">
      <alignment horizontal="right" vertical="center" shrinkToFit="1"/>
      <protection hidden="1"/>
    </xf>
    <xf numFmtId="166" fontId="70" fillId="3" borderId="29" xfId="161" applyNumberFormat="1" applyFont="1" applyFill="1" applyBorder="1" applyAlignment="1" applyProtection="1">
      <alignment horizontal="right" vertical="center" shrinkToFit="1"/>
      <protection hidden="1"/>
    </xf>
    <xf numFmtId="166" fontId="40" fillId="2" borderId="0" xfId="161" applyNumberFormat="1" applyFont="1" applyFill="1" applyAlignment="1" applyProtection="1">
      <alignment horizontal="right" vertical="center" shrinkToFit="1"/>
      <protection hidden="1"/>
    </xf>
    <xf numFmtId="166" fontId="40" fillId="2" borderId="39" xfId="161" applyNumberFormat="1" applyFont="1" applyFill="1" applyBorder="1" applyAlignment="1" applyProtection="1">
      <alignment horizontal="right" vertical="center" shrinkToFit="1"/>
      <protection hidden="1"/>
    </xf>
    <xf numFmtId="166" fontId="40" fillId="2" borderId="4" xfId="161" applyNumberFormat="1" applyFont="1" applyFill="1" applyBorder="1" applyAlignment="1" applyProtection="1">
      <alignment horizontal="right" vertical="center" shrinkToFit="1"/>
      <protection hidden="1"/>
    </xf>
    <xf numFmtId="166" fontId="40" fillId="2" borderId="29" xfId="161" applyNumberFormat="1" applyFont="1" applyFill="1" applyBorder="1" applyAlignment="1" applyProtection="1">
      <alignment horizontal="right" vertical="center" shrinkToFit="1"/>
      <protection hidden="1"/>
    </xf>
    <xf numFmtId="0" fontId="26" fillId="0" borderId="31" xfId="166" applyFont="1" applyBorder="1" applyAlignment="1" applyProtection="1">
      <alignment horizontal="right" vertical="center"/>
      <protection hidden="1"/>
    </xf>
    <xf numFmtId="215" fontId="23" fillId="46" borderId="0" xfId="165" applyNumberFormat="1" applyFont="1" applyFill="1" applyBorder="1" applyAlignment="1" applyProtection="1">
      <alignment wrapText="1"/>
      <protection hidden="1"/>
    </xf>
    <xf numFmtId="188" fontId="23" fillId="46" borderId="0" xfId="166" applyNumberFormat="1" applyFont="1" applyFill="1" applyAlignment="1" applyProtection="1">
      <alignment horizontal="right" vertical="center" wrapText="1"/>
      <protection hidden="1"/>
    </xf>
    <xf numFmtId="215" fontId="23" fillId="0" borderId="0" xfId="165" applyNumberFormat="1" applyFont="1" applyFill="1" applyBorder="1" applyAlignment="1" applyProtection="1">
      <alignment wrapText="1"/>
      <protection hidden="1"/>
    </xf>
    <xf numFmtId="216" fontId="23" fillId="0" borderId="0" xfId="165" applyNumberFormat="1" applyFont="1" applyFill="1" applyBorder="1" applyAlignment="1" applyProtection="1">
      <alignment wrapText="1"/>
      <protection hidden="1"/>
    </xf>
    <xf numFmtId="217" fontId="23" fillId="46" borderId="0" xfId="167" applyNumberFormat="1" applyFont="1" applyFill="1" applyAlignment="1" applyProtection="1">
      <alignment horizontal="right" vertical="center" wrapText="1"/>
      <protection hidden="1"/>
    </xf>
    <xf numFmtId="9" fontId="23" fillId="0" borderId="0" xfId="163" applyFont="1" applyFill="1" applyBorder="1" applyAlignment="1" applyProtection="1">
      <alignment wrapText="1"/>
      <protection hidden="1"/>
    </xf>
    <xf numFmtId="217" fontId="23" fillId="0" borderId="0" xfId="165" applyNumberFormat="1" applyFont="1" applyFill="1" applyBorder="1" applyAlignment="1" applyProtection="1">
      <alignment wrapText="1"/>
      <protection hidden="1"/>
    </xf>
    <xf numFmtId="9" fontId="23" fillId="46" borderId="0" xfId="163" applyFont="1" applyFill="1" applyBorder="1" applyAlignment="1" applyProtection="1">
      <alignment wrapText="1"/>
      <protection hidden="1"/>
    </xf>
    <xf numFmtId="185" fontId="23" fillId="0" borderId="0" xfId="166" applyNumberFormat="1" applyFont="1" applyAlignment="1" applyProtection="1">
      <alignment wrapText="1"/>
      <protection hidden="1"/>
    </xf>
    <xf numFmtId="215" fontId="23" fillId="46" borderId="114" xfId="165" applyNumberFormat="1" applyFont="1" applyFill="1" applyBorder="1" applyAlignment="1" applyProtection="1">
      <alignment wrapText="1"/>
      <protection hidden="1"/>
    </xf>
    <xf numFmtId="2" fontId="23" fillId="0" borderId="1" xfId="165" applyNumberFormat="1" applyFont="1" applyFill="1" applyBorder="1" applyAlignment="1" applyProtection="1">
      <alignment wrapText="1"/>
      <protection hidden="1"/>
    </xf>
    <xf numFmtId="185" fontId="31" fillId="7" borderId="3" xfId="167" applyNumberFormat="1" applyFont="1" applyFill="1" applyBorder="1" applyAlignment="1" applyProtection="1">
      <alignment horizontal="right" vertical="center" wrapText="1"/>
      <protection hidden="1"/>
    </xf>
    <xf numFmtId="185" fontId="47" fillId="6" borderId="13" xfId="167" applyNumberFormat="1" applyFont="1" applyFill="1" applyBorder="1" applyAlignment="1" applyProtection="1">
      <alignment horizontal="right" vertical="center" shrinkToFit="1"/>
      <protection hidden="1"/>
    </xf>
    <xf numFmtId="185" fontId="31" fillId="3" borderId="26" xfId="167" applyNumberFormat="1" applyFont="1" applyFill="1" applyBorder="1" applyAlignment="1" applyProtection="1">
      <alignment horizontal="right" vertical="center" wrapText="1"/>
      <protection hidden="1"/>
    </xf>
    <xf numFmtId="185" fontId="31" fillId="12" borderId="26" xfId="167" applyNumberFormat="1" applyFont="1" applyFill="1" applyBorder="1" applyAlignment="1" applyProtection="1">
      <alignment horizontal="right" vertical="center" wrapText="1"/>
      <protection hidden="1"/>
    </xf>
    <xf numFmtId="185" fontId="31" fillId="14" borderId="26" xfId="167" applyNumberFormat="1" applyFont="1" applyFill="1" applyBorder="1" applyAlignment="1" applyProtection="1">
      <alignment horizontal="right" vertical="center" wrapText="1"/>
      <protection hidden="1"/>
    </xf>
    <xf numFmtId="185" fontId="31" fillId="15" borderId="26" xfId="167" applyNumberFormat="1" applyFont="1" applyFill="1" applyBorder="1" applyAlignment="1" applyProtection="1">
      <alignment horizontal="right" vertical="center" wrapText="1"/>
      <protection hidden="1"/>
    </xf>
    <xf numFmtId="185" fontId="31" fillId="7" borderId="36" xfId="167" applyNumberFormat="1" applyFont="1" applyFill="1" applyBorder="1" applyAlignment="1" applyProtection="1">
      <alignment horizontal="right" vertical="center" wrapText="1"/>
      <protection hidden="1"/>
    </xf>
    <xf numFmtId="188" fontId="26" fillId="0" borderId="0" xfId="166" applyNumberFormat="1" applyFont="1" applyAlignment="1" applyProtection="1">
      <alignment horizontal="right" vertical="center" wrapText="1"/>
      <protection hidden="1"/>
    </xf>
    <xf numFmtId="0" fontId="52" fillId="0" borderId="0" xfId="166" applyFont="1" applyAlignment="1" applyProtection="1">
      <alignment horizontal="left" vertical="center" wrapText="1"/>
      <protection hidden="1"/>
    </xf>
    <xf numFmtId="0" fontId="52" fillId="0" borderId="23" xfId="166" applyFont="1" applyBorder="1" applyAlignment="1" applyProtection="1">
      <alignment horizontal="left" wrapText="1" indent="1"/>
      <protection hidden="1"/>
    </xf>
    <xf numFmtId="0" fontId="27" fillId="0" borderId="0" xfId="166" applyFont="1" applyAlignment="1" applyProtection="1">
      <alignment horizontal="center" vertical="center" wrapText="1"/>
      <protection hidden="1"/>
    </xf>
    <xf numFmtId="0" fontId="22" fillId="0" borderId="0" xfId="166" applyFont="1" applyAlignment="1" applyProtection="1">
      <alignment horizontal="center" vertical="center" wrapText="1"/>
      <protection hidden="1"/>
    </xf>
    <xf numFmtId="185" fontId="30" fillId="0" borderId="0" xfId="166" applyNumberFormat="1" applyFont="1" applyAlignment="1" applyProtection="1">
      <alignment horizontal="left" vertical="center"/>
      <protection hidden="1"/>
    </xf>
    <xf numFmtId="0" fontId="21" fillId="0" borderId="31" xfId="166" applyFont="1" applyBorder="1" applyAlignment="1" applyProtection="1">
      <alignment horizontal="right" vertical="center" wrapText="1"/>
      <protection hidden="1"/>
    </xf>
    <xf numFmtId="0" fontId="27" fillId="0" borderId="23" xfId="166" applyFont="1" applyBorder="1" applyAlignment="1" applyProtection="1">
      <alignment horizontal="right" vertical="center" wrapText="1"/>
      <protection hidden="1"/>
    </xf>
    <xf numFmtId="223" fontId="26" fillId="19" borderId="9" xfId="161" applyNumberFormat="1" applyFont="1" applyFill="1" applyBorder="1" applyAlignment="1" applyProtection="1">
      <alignment horizontal="right" vertical="center" shrinkToFit="1"/>
      <protection locked="0" hidden="1"/>
    </xf>
    <xf numFmtId="166" fontId="22" fillId="0" borderId="0" xfId="166" applyNumberFormat="1" applyFont="1" applyAlignment="1" applyProtection="1">
      <alignment horizontal="right" vertical="center" shrinkToFit="1"/>
      <protection hidden="1"/>
    </xf>
    <xf numFmtId="166" fontId="22" fillId="0" borderId="4" xfId="166" applyNumberFormat="1" applyFont="1" applyBorder="1" applyAlignment="1" applyProtection="1">
      <alignment horizontal="right" vertical="center" shrinkToFit="1"/>
      <protection hidden="1"/>
    </xf>
    <xf numFmtId="198" fontId="88" fillId="47" borderId="46" xfId="168" applyNumberFormat="1" applyFont="1" applyBorder="1" applyAlignment="1">
      <alignment horizontal="center" vertical="center" shrinkToFit="1"/>
    </xf>
    <xf numFmtId="199" fontId="89" fillId="48" borderId="46" xfId="169" applyNumberFormat="1" applyFont="1" applyBorder="1" applyAlignment="1">
      <alignment horizontal="center" vertical="center" shrinkToFit="1"/>
    </xf>
    <xf numFmtId="0" fontId="72" fillId="0" borderId="0" xfId="166" applyFont="1" applyAlignment="1" applyProtection="1">
      <alignment horizontal="left" vertical="center" wrapText="1"/>
      <protection hidden="1"/>
    </xf>
    <xf numFmtId="204" fontId="53" fillId="0" borderId="0" xfId="166" applyNumberFormat="1" applyFont="1" applyAlignment="1">
      <alignment horizontal="center" vertical="center" wrapText="1"/>
    </xf>
    <xf numFmtId="204" fontId="53" fillId="0" borderId="0" xfId="166" applyNumberFormat="1" applyFont="1" applyAlignment="1">
      <alignment horizontal="center" wrapText="1"/>
    </xf>
    <xf numFmtId="0" fontId="21" fillId="0" borderId="0" xfId="166" applyFont="1" applyAlignment="1">
      <alignment horizontal="right" vertical="center"/>
    </xf>
    <xf numFmtId="0" fontId="21" fillId="0" borderId="100" xfId="166" applyFont="1" applyBorder="1" applyAlignment="1">
      <alignment horizontal="right" vertical="center"/>
    </xf>
    <xf numFmtId="166" fontId="23" fillId="0" borderId="0" xfId="161" applyNumberFormat="1" applyFont="1" applyAlignment="1" applyProtection="1">
      <alignment horizontal="right" vertical="center" shrinkToFit="1"/>
      <protection hidden="1"/>
    </xf>
    <xf numFmtId="166" fontId="23" fillId="0" borderId="39" xfId="161" applyNumberFormat="1" applyFont="1" applyBorder="1" applyAlignment="1" applyProtection="1">
      <alignment horizontal="right" vertical="center" shrinkToFit="1"/>
      <protection hidden="1"/>
    </xf>
    <xf numFmtId="166" fontId="70" fillId="3" borderId="1" xfId="161" applyNumberFormat="1" applyFont="1" applyFill="1" applyBorder="1" applyAlignment="1" applyProtection="1">
      <alignment horizontal="right" vertical="center" shrinkToFit="1"/>
      <protection hidden="1"/>
    </xf>
    <xf numFmtId="166" fontId="70" fillId="3" borderId="3" xfId="161" applyNumberFormat="1" applyFont="1" applyFill="1" applyBorder="1" applyAlignment="1" applyProtection="1">
      <alignment horizontal="right" vertical="center" shrinkToFit="1"/>
      <protection hidden="1"/>
    </xf>
    <xf numFmtId="189" fontId="23" fillId="0" borderId="14" xfId="166" applyNumberFormat="1" applyFont="1" applyBorder="1" applyAlignment="1" applyProtection="1">
      <alignment horizontal="right" vertical="center" wrapText="1"/>
      <protection hidden="1"/>
    </xf>
    <xf numFmtId="189" fontId="23" fillId="0" borderId="22" xfId="166" applyNumberFormat="1" applyFont="1" applyBorder="1" applyAlignment="1" applyProtection="1">
      <alignment horizontal="right" vertical="center" wrapText="1"/>
      <protection hidden="1"/>
    </xf>
    <xf numFmtId="0" fontId="23" fillId="7" borderId="31" xfId="161" applyFont="1" applyFill="1" applyBorder="1" applyAlignment="1" applyProtection="1">
      <alignment horizontal="right" wrapText="1"/>
      <protection hidden="1"/>
    </xf>
    <xf numFmtId="0" fontId="23" fillId="7" borderId="6" xfId="161" applyFont="1" applyFill="1" applyBorder="1" applyAlignment="1" applyProtection="1">
      <alignment horizontal="right" wrapText="1"/>
      <protection hidden="1"/>
    </xf>
    <xf numFmtId="0" fontId="23" fillId="7" borderId="34" xfId="161" applyFont="1" applyFill="1" applyBorder="1" applyAlignment="1" applyProtection="1">
      <alignment horizontal="right" wrapText="1"/>
      <protection hidden="1"/>
    </xf>
    <xf numFmtId="0" fontId="23" fillId="7" borderId="5" xfId="161" applyFont="1" applyFill="1" applyBorder="1" applyAlignment="1" applyProtection="1">
      <alignment horizontal="right" wrapText="1"/>
      <protection hidden="1"/>
    </xf>
    <xf numFmtId="169" fontId="23" fillId="0" borderId="23" xfId="161" applyNumberFormat="1" applyFont="1" applyBorder="1" applyAlignment="1" applyProtection="1">
      <alignment horizontal="right" vertical="center"/>
      <protection hidden="1"/>
    </xf>
    <xf numFmtId="166" fontId="23" fillId="0" borderId="4" xfId="161" applyNumberFormat="1" applyFont="1" applyBorder="1" applyAlignment="1" applyProtection="1">
      <alignment horizontal="right" vertical="center" shrinkToFit="1"/>
      <protection hidden="1"/>
    </xf>
    <xf numFmtId="0" fontId="23" fillId="3" borderId="104" xfId="161" applyFont="1" applyFill="1" applyBorder="1" applyAlignment="1" applyProtection="1">
      <alignment horizontal="right" vertical="center"/>
      <protection hidden="1"/>
    </xf>
    <xf numFmtId="0" fontId="23" fillId="0" borderId="0" xfId="161" applyFont="1" applyAlignment="1" applyProtection="1">
      <alignment horizontal="right" vertical="center"/>
      <protection hidden="1"/>
    </xf>
    <xf numFmtId="0" fontId="93" fillId="0" borderId="0" xfId="161" applyFont="1" applyAlignment="1" applyProtection="1">
      <alignment horizontal="left" vertical="center"/>
      <protection hidden="1"/>
    </xf>
    <xf numFmtId="193" fontId="22" fillId="39" borderId="124" xfId="166" applyNumberFormat="1" applyFont="1" applyFill="1" applyBorder="1" applyAlignment="1" applyProtection="1">
      <alignment horizontal="right" vertical="center" shrinkToFit="1"/>
      <protection hidden="1"/>
    </xf>
    <xf numFmtId="166" fontId="22" fillId="39" borderId="124" xfId="166" applyNumberFormat="1" applyFont="1" applyFill="1" applyBorder="1" applyAlignment="1" applyProtection="1">
      <alignment horizontal="right" vertical="center" shrinkToFit="1"/>
      <protection hidden="1"/>
    </xf>
    <xf numFmtId="193" fontId="22" fillId="39" borderId="125" xfId="166" applyNumberFormat="1" applyFont="1" applyFill="1" applyBorder="1" applyAlignment="1" applyProtection="1">
      <alignment horizontal="right" vertical="center" shrinkToFit="1"/>
      <protection hidden="1"/>
    </xf>
    <xf numFmtId="9" fontId="21" fillId="0" borderId="0" xfId="163" applyFont="1" applyFill="1" applyAlignment="1" applyProtection="1">
      <alignment horizontal="center" vertical="center" wrapText="1"/>
    </xf>
    <xf numFmtId="0" fontId="52" fillId="7" borderId="6" xfId="166" applyFont="1" applyFill="1" applyBorder="1" applyAlignment="1">
      <alignment horizontal="center" vertical="center" wrapText="1"/>
    </xf>
    <xf numFmtId="0" fontId="52" fillId="7" borderId="31" xfId="166" applyFont="1" applyFill="1" applyBorder="1" applyAlignment="1">
      <alignment horizontal="right" vertical="center" wrapText="1"/>
    </xf>
    <xf numFmtId="9" fontId="21" fillId="0" borderId="0" xfId="163" applyFont="1" applyBorder="1" applyAlignment="1" applyProtection="1">
      <alignment horizontal="center" vertical="center" wrapText="1"/>
      <protection hidden="1"/>
    </xf>
    <xf numFmtId="9" fontId="26" fillId="2" borderId="0" xfId="163" applyFont="1" applyFill="1" applyBorder="1" applyAlignment="1" applyProtection="1">
      <alignment horizontal="center" vertical="center" wrapText="1"/>
      <protection locked="0"/>
    </xf>
    <xf numFmtId="0" fontId="78" fillId="0" borderId="0" xfId="161" applyFont="1" applyAlignment="1" applyProtection="1">
      <alignment horizontal="left" vertical="center"/>
      <protection hidden="1"/>
    </xf>
    <xf numFmtId="165" fontId="94" fillId="0" borderId="0" xfId="163" applyNumberFormat="1" applyFont="1" applyFill="1" applyBorder="1" applyAlignment="1" applyProtection="1">
      <alignment horizontal="right" vertical="center" shrinkToFit="1"/>
      <protection hidden="1"/>
    </xf>
    <xf numFmtId="166" fontId="94" fillId="0" borderId="0" xfId="161" applyNumberFormat="1" applyFont="1" applyAlignment="1" applyProtection="1">
      <alignment horizontal="right" vertical="center" shrinkToFit="1"/>
      <protection hidden="1"/>
    </xf>
    <xf numFmtId="170" fontId="50" fillId="24" borderId="14" xfId="0" applyNumberFormat="1" applyFont="1" applyFill="1" applyBorder="1" applyAlignment="1" applyProtection="1">
      <alignment horizontal="center" wrapText="1"/>
      <protection hidden="1"/>
    </xf>
    <xf numFmtId="166" fontId="21" fillId="19" borderId="2" xfId="161" applyNumberFormat="1" applyFont="1" applyFill="1" applyBorder="1" applyAlignment="1" applyProtection="1">
      <alignment horizontal="right" vertical="center"/>
      <protection locked="0" hidden="1"/>
    </xf>
    <xf numFmtId="165" fontId="21" fillId="19" borderId="2" xfId="163" applyNumberFormat="1" applyFont="1" applyFill="1" applyBorder="1" applyAlignment="1" applyProtection="1">
      <alignment horizontal="right" vertical="center"/>
      <protection locked="0" hidden="1"/>
    </xf>
    <xf numFmtId="166" fontId="21" fillId="0" borderId="0" xfId="161" applyNumberFormat="1" applyFont="1" applyAlignment="1" applyProtection="1">
      <alignment horizontal="right" vertical="center"/>
      <protection hidden="1"/>
    </xf>
    <xf numFmtId="165" fontId="32" fillId="6" borderId="0" xfId="163" applyNumberFormat="1" applyFont="1" applyFill="1" applyBorder="1" applyAlignment="1" applyProtection="1">
      <alignment horizontal="right" vertical="center"/>
      <protection hidden="1"/>
    </xf>
    <xf numFmtId="166" fontId="22" fillId="6" borderId="0" xfId="161" applyNumberFormat="1" applyFont="1" applyFill="1" applyAlignment="1" applyProtection="1">
      <alignment horizontal="right" vertical="center"/>
      <protection hidden="1"/>
    </xf>
    <xf numFmtId="166" fontId="21" fillId="19" borderId="2" xfId="161" applyNumberFormat="1" applyFont="1" applyFill="1" applyBorder="1" applyAlignment="1" applyProtection="1">
      <alignment horizontal="right" vertical="center" shrinkToFit="1"/>
      <protection locked="0" hidden="1"/>
    </xf>
    <xf numFmtId="165" fontId="21" fillId="19" borderId="2" xfId="163" applyNumberFormat="1" applyFont="1" applyFill="1" applyBorder="1" applyAlignment="1" applyProtection="1">
      <alignment horizontal="right" vertical="center" shrinkToFit="1"/>
      <protection locked="0" hidden="1"/>
    </xf>
    <xf numFmtId="166" fontId="21" fillId="0" borderId="0" xfId="161" applyNumberFormat="1" applyFont="1" applyAlignment="1" applyProtection="1">
      <alignment horizontal="right" vertical="center" shrinkToFit="1"/>
      <protection hidden="1"/>
    </xf>
    <xf numFmtId="165" fontId="21" fillId="0" borderId="0" xfId="163" applyNumberFormat="1" applyFont="1" applyFill="1" applyBorder="1" applyAlignment="1" applyProtection="1">
      <alignment horizontal="right" vertical="center" shrinkToFit="1"/>
      <protection hidden="1"/>
    </xf>
    <xf numFmtId="182" fontId="21" fillId="0" borderId="0" xfId="166" applyNumberFormat="1" applyFont="1" applyAlignment="1" applyProtection="1">
      <alignment horizontal="right" shrinkToFit="1"/>
      <protection hidden="1"/>
    </xf>
    <xf numFmtId="0" fontId="21" fillId="0" borderId="0" xfId="166" applyFont="1" applyAlignment="1" applyProtection="1">
      <alignment horizontal="right" shrinkToFit="1"/>
      <protection hidden="1"/>
    </xf>
    <xf numFmtId="182" fontId="21" fillId="7" borderId="0" xfId="166" applyNumberFormat="1" applyFont="1" applyFill="1" applyAlignment="1" applyProtection="1">
      <alignment horizontal="right" shrinkToFit="1"/>
      <protection hidden="1"/>
    </xf>
    <xf numFmtId="182" fontId="22" fillId="7" borderId="0" xfId="166" applyNumberFormat="1" applyFont="1" applyFill="1" applyAlignment="1" applyProtection="1">
      <alignment horizontal="right" shrinkToFit="1"/>
      <protection hidden="1"/>
    </xf>
    <xf numFmtId="182" fontId="22" fillId="6" borderId="0" xfId="166" applyNumberFormat="1" applyFont="1" applyFill="1" applyAlignment="1" applyProtection="1">
      <alignment horizontal="right" shrinkToFit="1"/>
      <protection hidden="1"/>
    </xf>
    <xf numFmtId="167" fontId="21" fillId="19" borderId="2" xfId="161" applyNumberFormat="1" applyFont="1" applyFill="1" applyBorder="1" applyAlignment="1" applyProtection="1">
      <alignment horizontal="right" vertical="center" shrinkToFit="1"/>
      <protection locked="0" hidden="1"/>
    </xf>
    <xf numFmtId="187" fontId="21" fillId="7" borderId="0" xfId="166" applyNumberFormat="1" applyFont="1" applyFill="1" applyAlignment="1" applyProtection="1">
      <alignment horizontal="right" shrinkToFit="1"/>
      <protection hidden="1"/>
    </xf>
    <xf numFmtId="167" fontId="21" fillId="19" borderId="2" xfId="166" applyNumberFormat="1" applyFont="1" applyFill="1" applyBorder="1" applyAlignment="1" applyProtection="1">
      <alignment horizontal="right" shrinkToFit="1"/>
      <protection locked="0" hidden="1"/>
    </xf>
    <xf numFmtId="167" fontId="22" fillId="7" borderId="0" xfId="166" applyNumberFormat="1" applyFont="1" applyFill="1" applyAlignment="1" applyProtection="1">
      <alignment horizontal="right" shrinkToFit="1"/>
      <protection hidden="1"/>
    </xf>
    <xf numFmtId="187" fontId="22" fillId="6" borderId="0" xfId="166" applyNumberFormat="1" applyFont="1" applyFill="1" applyAlignment="1" applyProtection="1">
      <alignment horizontal="right" shrinkToFit="1"/>
      <protection hidden="1"/>
    </xf>
    <xf numFmtId="166" fontId="21" fillId="7" borderId="0" xfId="161" applyNumberFormat="1" applyFont="1" applyFill="1" applyAlignment="1" applyProtection="1">
      <alignment horizontal="right" vertical="center" shrinkToFit="1"/>
      <protection hidden="1"/>
    </xf>
    <xf numFmtId="166" fontId="68" fillId="0" borderId="6" xfId="161" applyNumberFormat="1" applyFont="1" applyBorder="1" applyAlignment="1" applyProtection="1">
      <alignment horizontal="right" vertical="center" shrinkToFit="1"/>
      <protection hidden="1"/>
    </xf>
    <xf numFmtId="166" fontId="70" fillId="0" borderId="0" xfId="161" applyNumberFormat="1" applyFont="1" applyAlignment="1" applyProtection="1">
      <alignment horizontal="right" vertical="center" shrinkToFit="1"/>
      <protection hidden="1"/>
    </xf>
    <xf numFmtId="169" fontId="21" fillId="0" borderId="0" xfId="161" applyNumberFormat="1" applyFont="1" applyAlignment="1" applyProtection="1">
      <alignment horizontal="right" vertical="center" shrinkToFit="1"/>
      <protection hidden="1"/>
    </xf>
    <xf numFmtId="166" fontId="70" fillId="4" borderId="1" xfId="161" applyNumberFormat="1" applyFont="1" applyFill="1" applyBorder="1" applyAlignment="1" applyProtection="1">
      <alignment horizontal="right" vertical="center" shrinkToFit="1"/>
      <protection hidden="1"/>
    </xf>
    <xf numFmtId="165" fontId="21" fillId="19" borderId="2" xfId="163" applyNumberFormat="1" applyFont="1" applyFill="1" applyBorder="1" applyAlignment="1" applyProtection="1">
      <alignment horizontal="right" vertical="center" wrapText="1" shrinkToFit="1"/>
      <protection locked="0" hidden="1"/>
    </xf>
    <xf numFmtId="166" fontId="21" fillId="0" borderId="0" xfId="161" applyNumberFormat="1" applyFont="1" applyAlignment="1" applyProtection="1">
      <alignment horizontal="right" vertical="center" wrapText="1" shrinkToFit="1"/>
      <protection hidden="1"/>
    </xf>
    <xf numFmtId="167" fontId="21" fillId="19" borderId="2" xfId="161" applyNumberFormat="1" applyFont="1" applyFill="1" applyBorder="1" applyAlignment="1" applyProtection="1">
      <alignment horizontal="right" vertical="center" wrapText="1" shrinkToFit="1"/>
      <protection locked="0" hidden="1"/>
    </xf>
    <xf numFmtId="176" fontId="32" fillId="7" borderId="0" xfId="161" applyNumberFormat="1" applyFont="1" applyFill="1" applyAlignment="1" applyProtection="1">
      <alignment horizontal="right" vertical="center" shrinkToFit="1"/>
      <protection hidden="1"/>
    </xf>
    <xf numFmtId="182" fontId="32" fillId="7" borderId="0" xfId="161" applyNumberFormat="1" applyFont="1" applyFill="1" applyAlignment="1" applyProtection="1">
      <alignment horizontal="right" vertical="center" wrapText="1" shrinkToFit="1"/>
      <protection hidden="1"/>
    </xf>
    <xf numFmtId="174" fontId="21" fillId="19" borderId="2" xfId="161" applyNumberFormat="1" applyFont="1" applyFill="1" applyBorder="1" applyAlignment="1" applyProtection="1">
      <alignment horizontal="right" vertical="center" wrapText="1" shrinkToFit="1"/>
      <protection locked="0" hidden="1"/>
    </xf>
    <xf numFmtId="171" fontId="26" fillId="0" borderId="0" xfId="161" applyNumberFormat="1" applyFont="1" applyAlignment="1" applyProtection="1">
      <alignment horizontal="right" vertical="center" wrapText="1" shrinkToFit="1"/>
      <protection hidden="1"/>
    </xf>
    <xf numFmtId="184" fontId="26" fillId="19" borderId="2" xfId="161" applyNumberFormat="1" applyFont="1" applyFill="1" applyBorder="1" applyAlignment="1" applyProtection="1">
      <alignment horizontal="right" vertical="center" wrapText="1" shrinkToFit="1"/>
      <protection locked="0" hidden="1"/>
    </xf>
    <xf numFmtId="183" fontId="26" fillId="0" borderId="0" xfId="161" applyNumberFormat="1" applyFont="1" applyAlignment="1" applyProtection="1">
      <alignment horizontal="right" vertical="center" wrapText="1" shrinkToFit="1"/>
      <protection hidden="1"/>
    </xf>
    <xf numFmtId="174" fontId="21" fillId="3" borderId="0" xfId="161" applyNumberFormat="1" applyFont="1" applyFill="1" applyAlignment="1" applyProtection="1">
      <alignment horizontal="right" vertical="center" wrapText="1" shrinkToFit="1"/>
      <protection hidden="1"/>
    </xf>
    <xf numFmtId="166" fontId="26" fillId="3" borderId="0" xfId="161" applyNumberFormat="1" applyFont="1" applyFill="1" applyAlignment="1" applyProtection="1">
      <alignment horizontal="right" vertical="center" wrapText="1" shrinkToFit="1"/>
      <protection hidden="1"/>
    </xf>
    <xf numFmtId="174" fontId="21" fillId="12" borderId="0" xfId="161" applyNumberFormat="1" applyFont="1" applyFill="1" applyAlignment="1" applyProtection="1">
      <alignment horizontal="right" vertical="center" wrapText="1" shrinkToFit="1"/>
      <protection hidden="1"/>
    </xf>
    <xf numFmtId="166" fontId="26" fillId="22" borderId="0" xfId="161" applyNumberFormat="1" applyFont="1" applyFill="1" applyAlignment="1" applyProtection="1">
      <alignment horizontal="right" vertical="center" wrapText="1" shrinkToFit="1"/>
      <protection hidden="1"/>
    </xf>
    <xf numFmtId="174" fontId="21" fillId="14" borderId="0" xfId="161" applyNumberFormat="1" applyFont="1" applyFill="1" applyAlignment="1" applyProtection="1">
      <alignment horizontal="right" vertical="center" wrapText="1" shrinkToFit="1"/>
      <protection hidden="1"/>
    </xf>
    <xf numFmtId="166" fontId="26" fillId="14" borderId="0" xfId="161" applyNumberFormat="1" applyFont="1" applyFill="1" applyAlignment="1" applyProtection="1">
      <alignment horizontal="right" vertical="center" wrapText="1" shrinkToFit="1"/>
      <protection hidden="1"/>
    </xf>
    <xf numFmtId="174" fontId="32" fillId="7" borderId="0" xfId="161" applyNumberFormat="1" applyFont="1" applyFill="1" applyAlignment="1" applyProtection="1">
      <alignment horizontal="right" vertical="center" wrapText="1" shrinkToFit="1"/>
      <protection hidden="1"/>
    </xf>
    <xf numFmtId="171" fontId="47" fillId="7" borderId="0" xfId="161" applyNumberFormat="1" applyFont="1" applyFill="1" applyAlignment="1" applyProtection="1">
      <alignment horizontal="right" vertical="center" wrapText="1" shrinkToFit="1"/>
      <protection hidden="1"/>
    </xf>
    <xf numFmtId="167" fontId="26" fillId="19" borderId="2" xfId="161" applyNumberFormat="1" applyFont="1" applyFill="1" applyBorder="1" applyAlignment="1" applyProtection="1">
      <alignment horizontal="right" vertical="center" wrapText="1" shrinkToFit="1"/>
      <protection locked="0" hidden="1"/>
    </xf>
    <xf numFmtId="180" fontId="26" fillId="0" borderId="0" xfId="161" applyNumberFormat="1" applyFont="1" applyAlignment="1" applyProtection="1">
      <alignment horizontal="right" vertical="center" wrapText="1" shrinkToFit="1"/>
      <protection hidden="1"/>
    </xf>
    <xf numFmtId="0" fontId="0" fillId="0" borderId="0" xfId="0" applyAlignment="1">
      <alignment horizontal="right" shrinkToFit="1"/>
    </xf>
    <xf numFmtId="166" fontId="0" fillId="0" borderId="0" xfId="0" applyNumberFormat="1" applyAlignment="1">
      <alignment shrinkToFit="1"/>
    </xf>
    <xf numFmtId="0" fontId="21" fillId="0" borderId="0" xfId="161" applyFont="1" applyAlignment="1" applyProtection="1">
      <alignment horizontal="center" vertical="center" wrapText="1" shrinkToFit="1"/>
      <protection hidden="1"/>
    </xf>
    <xf numFmtId="166" fontId="21" fillId="0" borderId="0" xfId="161" applyNumberFormat="1" applyFont="1" applyAlignment="1" applyProtection="1">
      <alignment horizontal="center" vertical="center" wrapText="1" shrinkToFit="1"/>
      <protection hidden="1"/>
    </xf>
    <xf numFmtId="180" fontId="36" fillId="0" borderId="0" xfId="161" applyNumberFormat="1" applyFont="1" applyAlignment="1" applyProtection="1">
      <alignment horizontal="center" vertical="center" wrapText="1" shrinkToFit="1"/>
      <protection hidden="1"/>
    </xf>
    <xf numFmtId="180" fontId="36" fillId="0" borderId="0" xfId="161" applyNumberFormat="1" applyFont="1" applyAlignment="1" applyProtection="1">
      <alignment horizontal="right" vertical="center" wrapText="1" shrinkToFit="1"/>
      <protection hidden="1"/>
    </xf>
    <xf numFmtId="0" fontId="0" fillId="0" borderId="0" xfId="0" applyAlignment="1">
      <alignment shrinkToFit="1"/>
    </xf>
    <xf numFmtId="2" fontId="26" fillId="0" borderId="0" xfId="163" applyNumberFormat="1" applyFont="1" applyFill="1" applyBorder="1" applyAlignment="1" applyProtection="1">
      <alignment horizontal="center" vertical="center"/>
      <protection hidden="1"/>
    </xf>
    <xf numFmtId="9" fontId="21" fillId="0" borderId="0" xfId="163" applyFont="1" applyFill="1" applyBorder="1" applyAlignment="1" applyProtection="1">
      <alignment horizontal="center" vertical="center"/>
      <protection hidden="1"/>
    </xf>
    <xf numFmtId="185" fontId="21" fillId="0" borderId="0" xfId="161" applyNumberFormat="1" applyFont="1" applyAlignment="1" applyProtection="1">
      <alignment horizontal="right" vertical="center"/>
      <protection hidden="1"/>
    </xf>
    <xf numFmtId="185" fontId="25" fillId="21" borderId="0" xfId="161" applyNumberFormat="1" applyFont="1" applyFill="1" applyAlignment="1" applyProtection="1">
      <alignment horizontal="right" vertical="center"/>
      <protection hidden="1"/>
    </xf>
    <xf numFmtId="0" fontId="21" fillId="0" borderId="0" xfId="161" applyFont="1" applyAlignment="1" applyProtection="1">
      <alignment horizontal="center" vertical="center"/>
      <protection hidden="1"/>
    </xf>
    <xf numFmtId="9" fontId="26" fillId="0" borderId="0" xfId="163" applyFont="1" applyFill="1" applyBorder="1" applyAlignment="1" applyProtection="1">
      <alignment horizontal="center" vertical="center"/>
      <protection hidden="1"/>
    </xf>
    <xf numFmtId="185" fontId="25" fillId="12" borderId="0" xfId="161" applyNumberFormat="1" applyFont="1" applyFill="1" applyAlignment="1" applyProtection="1">
      <alignment horizontal="right" vertical="center"/>
      <protection hidden="1"/>
    </xf>
    <xf numFmtId="185" fontId="21" fillId="20" borderId="0" xfId="161" applyNumberFormat="1" applyFont="1" applyFill="1" applyAlignment="1" applyProtection="1">
      <alignment horizontal="right" vertical="center"/>
      <protection hidden="1"/>
    </xf>
    <xf numFmtId="170" fontId="27" fillId="0" borderId="0" xfId="161" applyNumberFormat="1" applyFont="1" applyAlignment="1" applyProtection="1">
      <alignment horizontal="right" vertical="center"/>
      <protection hidden="1"/>
    </xf>
    <xf numFmtId="2" fontId="26" fillId="0" borderId="0" xfId="161" applyNumberFormat="1" applyFont="1" applyAlignment="1" applyProtection="1">
      <alignment horizontal="center" vertical="center"/>
      <protection hidden="1"/>
    </xf>
    <xf numFmtId="0" fontId="26" fillId="0" borderId="0" xfId="161" applyFont="1" applyAlignment="1" applyProtection="1">
      <alignment horizontal="center" vertical="center"/>
      <protection hidden="1"/>
    </xf>
    <xf numFmtId="9" fontId="26" fillId="0" borderId="0" xfId="163" applyFont="1" applyAlignment="1" applyProtection="1">
      <alignment horizontal="center" vertical="center"/>
      <protection hidden="1"/>
    </xf>
    <xf numFmtId="185" fontId="26" fillId="0" borderId="0" xfId="161" applyNumberFormat="1" applyFont="1" applyAlignment="1" applyProtection="1">
      <alignment horizontal="right" vertical="center"/>
      <protection hidden="1"/>
    </xf>
    <xf numFmtId="166" fontId="26" fillId="0" borderId="0" xfId="161" applyNumberFormat="1" applyFont="1" applyAlignment="1" applyProtection="1">
      <alignment horizontal="right" vertical="center"/>
      <protection hidden="1"/>
    </xf>
    <xf numFmtId="166" fontId="21" fillId="0" borderId="0" xfId="161" applyNumberFormat="1" applyFont="1" applyAlignment="1" applyProtection="1">
      <alignment horizontal="center" vertical="center"/>
      <protection hidden="1"/>
    </xf>
    <xf numFmtId="2" fontId="31" fillId="25" borderId="0" xfId="163" applyNumberFormat="1" applyFont="1" applyFill="1" applyBorder="1" applyAlignment="1" applyProtection="1">
      <alignment horizontal="center" vertical="center"/>
      <protection hidden="1"/>
    </xf>
    <xf numFmtId="9" fontId="31" fillId="25" borderId="0" xfId="163" applyFont="1" applyFill="1" applyBorder="1" applyAlignment="1" applyProtection="1">
      <alignment horizontal="center" vertical="center"/>
      <protection hidden="1"/>
    </xf>
    <xf numFmtId="185" fontId="25" fillId="15" borderId="0" xfId="161" applyNumberFormat="1" applyFont="1" applyFill="1" applyAlignment="1" applyProtection="1">
      <alignment horizontal="right" vertical="center"/>
      <protection hidden="1"/>
    </xf>
    <xf numFmtId="170" fontId="21" fillId="0" borderId="0" xfId="161" applyNumberFormat="1" applyFont="1" applyAlignment="1" applyProtection="1">
      <alignment horizontal="right" vertical="center"/>
      <protection hidden="1"/>
    </xf>
    <xf numFmtId="176" fontId="33" fillId="0" borderId="0" xfId="161" applyNumberFormat="1" applyFont="1" applyAlignment="1" applyProtection="1">
      <alignment horizontal="center" vertical="center"/>
      <protection hidden="1"/>
    </xf>
    <xf numFmtId="176" fontId="22" fillId="0" borderId="0" xfId="161" applyNumberFormat="1" applyFont="1" applyAlignment="1" applyProtection="1">
      <alignment horizontal="right" vertical="center"/>
      <protection hidden="1"/>
    </xf>
    <xf numFmtId="2" fontId="31" fillId="7" borderId="0" xfId="163" applyNumberFormat="1" applyFont="1" applyFill="1" applyBorder="1" applyAlignment="1" applyProtection="1">
      <alignment horizontal="center" vertical="center"/>
      <protection hidden="1"/>
    </xf>
    <xf numFmtId="9" fontId="25" fillId="7" borderId="0" xfId="163" applyFont="1" applyFill="1" applyAlignment="1" applyProtection="1">
      <alignment horizontal="center" vertical="center"/>
      <protection hidden="1"/>
    </xf>
    <xf numFmtId="185" fontId="21" fillId="0" borderId="0" xfId="161" applyNumberFormat="1" applyFont="1" applyAlignment="1" applyProtection="1">
      <alignment horizontal="right" vertical="center" shrinkToFit="1"/>
      <protection hidden="1"/>
    </xf>
    <xf numFmtId="9" fontId="26" fillId="0" borderId="0" xfId="163" applyFont="1" applyFill="1" applyBorder="1" applyAlignment="1" applyProtection="1">
      <alignment horizontal="center" vertical="center" shrinkToFit="1"/>
      <protection hidden="1"/>
    </xf>
    <xf numFmtId="165" fontId="22" fillId="7" borderId="0" xfId="163" applyNumberFormat="1" applyFont="1" applyFill="1" applyAlignment="1" applyProtection="1">
      <alignment horizontal="right" vertical="center" shrinkToFit="1"/>
      <protection hidden="1"/>
    </xf>
    <xf numFmtId="211" fontId="20" fillId="0" borderId="0" xfId="161" applyNumberFormat="1" applyFont="1" applyAlignment="1" applyProtection="1">
      <alignment vertical="center"/>
      <protection hidden="1"/>
    </xf>
    <xf numFmtId="176" fontId="35" fillId="21" borderId="0" xfId="161" applyNumberFormat="1" applyFont="1" applyFill="1" applyAlignment="1" applyProtection="1">
      <alignment horizontal="center" vertical="center"/>
      <protection hidden="1"/>
    </xf>
    <xf numFmtId="2" fontId="31" fillId="21" borderId="0" xfId="161" applyNumberFormat="1" applyFont="1" applyFill="1" applyAlignment="1" applyProtection="1">
      <alignment horizontal="center" vertical="center"/>
      <protection hidden="1"/>
    </xf>
    <xf numFmtId="166" fontId="25" fillId="21" borderId="0" xfId="161" applyNumberFormat="1" applyFont="1" applyFill="1" applyAlignment="1" applyProtection="1">
      <alignment horizontal="right" vertical="center"/>
      <protection hidden="1"/>
    </xf>
    <xf numFmtId="176" fontId="35" fillId="12" borderId="0" xfId="161" applyNumberFormat="1" applyFont="1" applyFill="1" applyAlignment="1" applyProtection="1">
      <alignment horizontal="center" vertical="center"/>
      <protection hidden="1"/>
    </xf>
    <xf numFmtId="2" fontId="31" fillId="12" borderId="0" xfId="161" applyNumberFormat="1" applyFont="1" applyFill="1" applyAlignment="1" applyProtection="1">
      <alignment horizontal="center" vertical="center"/>
      <protection hidden="1"/>
    </xf>
    <xf numFmtId="166" fontId="25" fillId="12" borderId="0" xfId="161" applyNumberFormat="1" applyFont="1" applyFill="1" applyAlignment="1" applyProtection="1">
      <alignment horizontal="right" vertical="center"/>
      <protection hidden="1"/>
    </xf>
    <xf numFmtId="176" fontId="35" fillId="20" borderId="0" xfId="161" applyNumberFormat="1" applyFont="1" applyFill="1" applyAlignment="1" applyProtection="1">
      <alignment horizontal="center" vertical="center"/>
      <protection hidden="1"/>
    </xf>
    <xf numFmtId="166" fontId="25" fillId="20" borderId="0" xfId="161" applyNumberFormat="1" applyFont="1" applyFill="1" applyAlignment="1" applyProtection="1">
      <alignment horizontal="right" vertical="center"/>
      <protection hidden="1"/>
    </xf>
    <xf numFmtId="185" fontId="26" fillId="0" borderId="0" xfId="161" applyNumberFormat="1" applyFont="1" applyAlignment="1" applyProtection="1">
      <alignment horizontal="center" vertical="center"/>
      <protection hidden="1"/>
    </xf>
    <xf numFmtId="176" fontId="35" fillId="15" borderId="0" xfId="161" applyNumberFormat="1" applyFont="1" applyFill="1" applyAlignment="1" applyProtection="1">
      <alignment horizontal="center" vertical="center"/>
      <protection hidden="1"/>
    </xf>
    <xf numFmtId="166" fontId="25" fillId="15" borderId="0" xfId="161" applyNumberFormat="1" applyFont="1" applyFill="1" applyAlignment="1" applyProtection="1">
      <alignment horizontal="right" vertical="center"/>
      <protection hidden="1"/>
    </xf>
    <xf numFmtId="176" fontId="35" fillId="7" borderId="0" xfId="161" applyNumberFormat="1" applyFont="1" applyFill="1" applyAlignment="1" applyProtection="1">
      <alignment horizontal="center" vertical="center"/>
      <protection hidden="1"/>
    </xf>
    <xf numFmtId="185" fontId="25" fillId="7" borderId="0" xfId="161" applyNumberFormat="1" applyFont="1" applyFill="1" applyAlignment="1" applyProtection="1">
      <alignment horizontal="right" vertical="center"/>
      <protection hidden="1"/>
    </xf>
    <xf numFmtId="166" fontId="25" fillId="7" borderId="0" xfId="161" applyNumberFormat="1" applyFont="1" applyFill="1" applyAlignment="1" applyProtection="1">
      <alignment horizontal="right" vertical="center"/>
      <protection hidden="1"/>
    </xf>
    <xf numFmtId="167" fontId="33" fillId="6" borderId="0" xfId="161" applyNumberFormat="1" applyFont="1" applyFill="1" applyAlignment="1" applyProtection="1">
      <alignment horizontal="center" vertical="center"/>
      <protection hidden="1"/>
    </xf>
    <xf numFmtId="2" fontId="27" fillId="6" borderId="0" xfId="163" applyNumberFormat="1" applyFont="1" applyFill="1" applyBorder="1" applyAlignment="1" applyProtection="1">
      <alignment horizontal="center" vertical="center"/>
      <protection hidden="1"/>
    </xf>
    <xf numFmtId="9" fontId="27" fillId="6" borderId="0" xfId="163" applyFont="1" applyFill="1" applyBorder="1" applyAlignment="1" applyProtection="1">
      <alignment horizontal="center" vertical="center"/>
      <protection hidden="1"/>
    </xf>
    <xf numFmtId="169" fontId="69" fillId="0" borderId="0" xfId="161" applyNumberFormat="1" applyFont="1" applyAlignment="1" applyProtection="1">
      <alignment horizontal="right" vertical="center" shrinkToFit="1"/>
      <protection hidden="1"/>
    </xf>
    <xf numFmtId="169" fontId="68" fillId="0" borderId="0" xfId="161" applyNumberFormat="1" applyFont="1" applyAlignment="1" applyProtection="1">
      <alignment horizontal="right" vertical="center" shrinkToFit="1"/>
      <protection hidden="1"/>
    </xf>
    <xf numFmtId="166" fontId="40" fillId="0" borderId="1" xfId="161" applyNumberFormat="1" applyFont="1" applyBorder="1" applyAlignment="1" applyProtection="1">
      <alignment horizontal="right" vertical="center" shrinkToFit="1"/>
      <protection hidden="1"/>
    </xf>
    <xf numFmtId="166" fontId="40" fillId="2" borderId="1" xfId="161" applyNumberFormat="1" applyFont="1" applyFill="1" applyBorder="1" applyAlignment="1" applyProtection="1">
      <alignment horizontal="right" vertical="center" shrinkToFit="1"/>
      <protection hidden="1"/>
    </xf>
    <xf numFmtId="166" fontId="40" fillId="41" borderId="0" xfId="161" applyNumberFormat="1" applyFont="1" applyFill="1" applyAlignment="1" applyProtection="1">
      <alignment horizontal="right" vertical="center" shrinkToFit="1"/>
      <protection hidden="1"/>
    </xf>
    <xf numFmtId="165" fontId="40" fillId="0" borderId="0" xfId="163" applyNumberFormat="1" applyFont="1" applyAlignment="1" applyProtection="1">
      <alignment horizontal="right" vertical="center" shrinkToFit="1"/>
      <protection hidden="1"/>
    </xf>
    <xf numFmtId="165" fontId="26" fillId="19" borderId="2" xfId="163" applyNumberFormat="1" applyFont="1" applyFill="1" applyBorder="1" applyAlignment="1" applyProtection="1">
      <alignment horizontal="right" vertical="center"/>
      <protection locked="0" hidden="1"/>
    </xf>
    <xf numFmtId="0" fontId="26" fillId="0" borderId="0" xfId="161" applyFont="1" applyAlignment="1" applyProtection="1">
      <alignment horizontal="right" vertical="center" shrinkToFit="1"/>
      <protection hidden="1"/>
    </xf>
    <xf numFmtId="0" fontId="0" fillId="0" borderId="0" xfId="0" applyAlignment="1">
      <alignment vertical="center" shrinkToFit="1"/>
    </xf>
    <xf numFmtId="166" fontId="0" fillId="0" borderId="0" xfId="0" applyNumberFormat="1" applyAlignment="1">
      <alignment vertical="center" shrinkToFit="1"/>
    </xf>
    <xf numFmtId="0" fontId="15" fillId="0" borderId="0" xfId="0" applyFont="1" applyAlignment="1">
      <alignment vertical="center" shrinkToFit="1"/>
    </xf>
    <xf numFmtId="166" fontId="15" fillId="0" borderId="0" xfId="0" applyNumberFormat="1" applyFont="1" applyAlignment="1">
      <alignment vertical="center" shrinkToFit="1"/>
    </xf>
    <xf numFmtId="0" fontId="44" fillId="0" borderId="0" xfId="161" applyFont="1" applyAlignment="1" applyProtection="1">
      <alignment vertical="center" shrinkToFit="1"/>
      <protection hidden="1"/>
    </xf>
    <xf numFmtId="167" fontId="26" fillId="0" borderId="0" xfId="161" applyNumberFormat="1" applyFont="1" applyAlignment="1" applyProtection="1">
      <alignment horizontal="right" vertical="center" shrinkToFit="1"/>
      <protection hidden="1"/>
    </xf>
    <xf numFmtId="180" fontId="26" fillId="0" borderId="0" xfId="161" applyNumberFormat="1" applyFont="1" applyAlignment="1" applyProtection="1">
      <alignment horizontal="right" vertical="center" shrinkToFit="1"/>
      <protection hidden="1"/>
    </xf>
    <xf numFmtId="166" fontId="26" fillId="0" borderId="0" xfId="161" applyNumberFormat="1" applyFont="1" applyAlignment="1" applyProtection="1">
      <alignment horizontal="right" vertical="center" shrinkToFit="1"/>
      <protection hidden="1"/>
    </xf>
    <xf numFmtId="176" fontId="31" fillId="7" borderId="0" xfId="161" applyNumberFormat="1" applyFont="1" applyFill="1" applyAlignment="1" applyProtection="1">
      <alignment horizontal="right" vertical="center" shrinkToFit="1"/>
      <protection hidden="1"/>
    </xf>
    <xf numFmtId="165" fontId="31" fillId="19" borderId="2" xfId="163" applyNumberFormat="1" applyFont="1" applyFill="1" applyBorder="1" applyAlignment="1" applyProtection="1">
      <alignment horizontal="right" vertical="center" shrinkToFit="1"/>
      <protection locked="0" hidden="1"/>
    </xf>
    <xf numFmtId="174" fontId="26" fillId="19" borderId="2" xfId="161" applyNumberFormat="1" applyFont="1" applyFill="1" applyBorder="1" applyAlignment="1" applyProtection="1">
      <alignment horizontal="right" vertical="center" shrinkToFit="1"/>
      <protection locked="0" hidden="1"/>
    </xf>
    <xf numFmtId="181" fontId="26" fillId="0" borderId="0" xfId="161" applyNumberFormat="1" applyFont="1" applyAlignment="1" applyProtection="1">
      <alignment horizontal="right" vertical="center" shrinkToFit="1"/>
      <protection hidden="1"/>
    </xf>
    <xf numFmtId="184" fontId="26" fillId="19" borderId="2" xfId="161" applyNumberFormat="1" applyFont="1" applyFill="1" applyBorder="1" applyAlignment="1" applyProtection="1">
      <alignment horizontal="right" vertical="center" shrinkToFit="1"/>
      <protection locked="0" hidden="1"/>
    </xf>
    <xf numFmtId="183" fontId="26" fillId="0" borderId="0" xfId="161" applyNumberFormat="1" applyFont="1" applyAlignment="1" applyProtection="1">
      <alignment horizontal="right" vertical="center" shrinkToFit="1"/>
      <protection hidden="1"/>
    </xf>
    <xf numFmtId="167" fontId="26" fillId="19" borderId="2" xfId="161" applyNumberFormat="1" applyFont="1" applyFill="1" applyBorder="1" applyAlignment="1" applyProtection="1">
      <alignment horizontal="right" vertical="center" shrinkToFit="1"/>
      <protection hidden="1"/>
    </xf>
    <xf numFmtId="0" fontId="24" fillId="0" borderId="0" xfId="161" applyFont="1" applyAlignment="1" applyProtection="1">
      <alignment horizontal="right" vertical="center" shrinkToFit="1"/>
      <protection hidden="1"/>
    </xf>
    <xf numFmtId="166" fontId="26" fillId="19" borderId="2" xfId="161" applyNumberFormat="1" applyFont="1" applyFill="1" applyBorder="1" applyAlignment="1" applyProtection="1">
      <alignment horizontal="right" vertical="center" shrinkToFit="1"/>
      <protection locked="0" hidden="1"/>
    </xf>
    <xf numFmtId="165" fontId="31" fillId="19" borderId="3" xfId="163" applyNumberFormat="1" applyFont="1" applyFill="1" applyBorder="1" applyAlignment="1" applyProtection="1">
      <alignment horizontal="right" vertical="center" shrinkToFit="1"/>
      <protection locked="0" hidden="1"/>
    </xf>
    <xf numFmtId="165" fontId="31" fillId="7" borderId="0" xfId="163" applyNumberFormat="1" applyFont="1" applyFill="1" applyBorder="1" applyAlignment="1" applyProtection="1">
      <alignment horizontal="right" vertical="center" shrinkToFit="1"/>
      <protection hidden="1"/>
    </xf>
    <xf numFmtId="180" fontId="47" fillId="6" borderId="1" xfId="161" applyNumberFormat="1" applyFont="1" applyFill="1" applyBorder="1" applyAlignment="1" applyProtection="1">
      <alignment horizontal="right" vertical="center" shrinkToFit="1"/>
      <protection hidden="1"/>
    </xf>
    <xf numFmtId="180" fontId="21" fillId="0" borderId="0" xfId="161" applyNumberFormat="1" applyFont="1" applyAlignment="1" applyProtection="1">
      <alignment horizontal="right" vertical="center" shrinkToFit="1"/>
      <protection hidden="1"/>
    </xf>
    <xf numFmtId="219" fontId="20" fillId="0" borderId="0" xfId="161" applyNumberFormat="1" applyFont="1" applyAlignment="1" applyProtection="1">
      <alignment vertical="center" shrinkToFit="1"/>
      <protection hidden="1"/>
    </xf>
    <xf numFmtId="2" fontId="24" fillId="0" borderId="0" xfId="163" applyNumberFormat="1" applyFont="1" applyFill="1" applyBorder="1" applyAlignment="1" applyProtection="1">
      <alignment horizontal="center" vertical="center" shrinkToFit="1"/>
      <protection hidden="1"/>
    </xf>
    <xf numFmtId="176" fontId="22" fillId="19" borderId="2" xfId="161" applyNumberFormat="1" applyFont="1" applyFill="1" applyBorder="1" applyAlignment="1" applyProtection="1">
      <alignment horizontal="right" vertical="center" shrinkToFit="1"/>
      <protection locked="0" hidden="1"/>
    </xf>
    <xf numFmtId="165" fontId="21" fillId="0" borderId="0" xfId="163" applyNumberFormat="1" applyFont="1" applyBorder="1" applyAlignment="1" applyProtection="1">
      <alignment horizontal="center" vertical="center" shrinkToFit="1"/>
      <protection hidden="1"/>
    </xf>
    <xf numFmtId="166" fontId="69" fillId="0" borderId="0" xfId="161" applyNumberFormat="1" applyFont="1" applyAlignment="1" applyProtection="1">
      <alignment horizontal="right" vertical="center" wrapText="1" shrinkToFit="1"/>
      <protection hidden="1"/>
    </xf>
    <xf numFmtId="166" fontId="65" fillId="3" borderId="0" xfId="161" applyNumberFormat="1" applyFont="1" applyFill="1" applyAlignment="1" applyProtection="1">
      <alignment horizontal="right" vertical="center" wrapText="1" shrinkToFit="1"/>
      <protection hidden="1"/>
    </xf>
    <xf numFmtId="166" fontId="70" fillId="3" borderId="0" xfId="161" applyNumberFormat="1" applyFont="1" applyFill="1" applyAlignment="1" applyProtection="1">
      <alignment horizontal="right" vertical="center" wrapText="1" shrinkToFit="1"/>
      <protection hidden="1"/>
    </xf>
    <xf numFmtId="166" fontId="26" fillId="0" borderId="0" xfId="161" applyNumberFormat="1" applyFont="1" applyAlignment="1" applyProtection="1">
      <alignment horizontal="right" vertical="center" wrapText="1" shrinkToFit="1"/>
      <protection hidden="1"/>
    </xf>
    <xf numFmtId="166" fontId="68" fillId="0" borderId="0" xfId="161" applyNumberFormat="1" applyFont="1" applyAlignment="1" applyProtection="1">
      <alignment horizontal="right" vertical="center" wrapText="1" shrinkToFit="1"/>
      <protection hidden="1"/>
    </xf>
    <xf numFmtId="166" fontId="63" fillId="2" borderId="0" xfId="161" applyNumberFormat="1" applyFont="1" applyFill="1" applyAlignment="1" applyProtection="1">
      <alignment horizontal="right" vertical="center" wrapText="1" shrinkToFit="1"/>
      <protection hidden="1"/>
    </xf>
    <xf numFmtId="166" fontId="40" fillId="2" borderId="0" xfId="161" applyNumberFormat="1" applyFont="1" applyFill="1" applyAlignment="1" applyProtection="1">
      <alignment horizontal="right" vertical="center" wrapText="1" shrinkToFit="1"/>
      <protection hidden="1"/>
    </xf>
    <xf numFmtId="166" fontId="40" fillId="41" borderId="0" xfId="161" applyNumberFormat="1" applyFont="1" applyFill="1" applyAlignment="1" applyProtection="1">
      <alignment horizontal="right" vertical="center" wrapText="1" shrinkToFit="1"/>
      <protection hidden="1"/>
    </xf>
    <xf numFmtId="165" fontId="40" fillId="0" borderId="0" xfId="163" applyNumberFormat="1" applyFont="1" applyAlignment="1" applyProtection="1">
      <alignment horizontal="right" vertical="center" wrapText="1" shrinkToFit="1"/>
      <protection hidden="1"/>
    </xf>
    <xf numFmtId="222" fontId="24" fillId="0" borderId="0" xfId="161" applyNumberFormat="1" applyFont="1" applyAlignment="1" applyProtection="1">
      <alignment horizontal="right" shrinkToFit="1"/>
      <protection hidden="1"/>
    </xf>
    <xf numFmtId="221" fontId="24" fillId="0" borderId="0" xfId="161" applyNumberFormat="1" applyFont="1" applyAlignment="1" applyProtection="1">
      <alignment horizontal="right" shrinkToFit="1"/>
      <protection hidden="1"/>
    </xf>
    <xf numFmtId="0" fontId="21" fillId="0" borderId="0" xfId="166" applyFont="1" applyAlignment="1" applyProtection="1">
      <alignment horizontal="center" vertical="center"/>
      <protection hidden="1"/>
    </xf>
    <xf numFmtId="185" fontId="83" fillId="0" borderId="0" xfId="166" applyNumberFormat="1" applyFont="1" applyAlignment="1" applyProtection="1">
      <alignment horizontal="right" vertical="center" shrinkToFit="1"/>
      <protection hidden="1"/>
    </xf>
    <xf numFmtId="185" fontId="83" fillId="0" borderId="39" xfId="166" applyNumberFormat="1" applyFont="1" applyBorder="1" applyAlignment="1" applyProtection="1">
      <alignment horizontal="right" vertical="center" shrinkToFit="1"/>
      <protection hidden="1"/>
    </xf>
    <xf numFmtId="185" fontId="83" fillId="0" borderId="17" xfId="166" applyNumberFormat="1" applyFont="1" applyBorder="1" applyAlignment="1" applyProtection="1">
      <alignment horizontal="right" vertical="center" shrinkToFit="1"/>
      <protection hidden="1"/>
    </xf>
    <xf numFmtId="0" fontId="21" fillId="0" borderId="0" xfId="166" applyFont="1" applyAlignment="1" applyProtection="1">
      <alignment horizontal="center" vertical="center" shrinkToFit="1"/>
      <protection hidden="1"/>
    </xf>
    <xf numFmtId="186" fontId="21" fillId="0" borderId="0" xfId="166" applyNumberFormat="1" applyFont="1" applyAlignment="1" applyProtection="1">
      <alignment horizontal="right" vertical="center" shrinkToFit="1"/>
      <protection hidden="1"/>
    </xf>
    <xf numFmtId="0" fontId="21" fillId="0" borderId="39" xfId="166" applyFont="1" applyBorder="1" applyAlignment="1" applyProtection="1">
      <alignment horizontal="center" vertical="center" shrinkToFit="1"/>
      <protection hidden="1"/>
    </xf>
    <xf numFmtId="0" fontId="21" fillId="0" borderId="17" xfId="166" applyFont="1" applyBorder="1" applyAlignment="1" applyProtection="1">
      <alignment horizontal="center" vertical="center" shrinkToFit="1"/>
      <protection hidden="1"/>
    </xf>
    <xf numFmtId="166" fontId="21" fillId="0" borderId="39" xfId="166" applyNumberFormat="1" applyFont="1" applyBorder="1" applyAlignment="1" applyProtection="1">
      <alignment horizontal="right" vertical="center" shrinkToFit="1"/>
      <protection hidden="1"/>
    </xf>
    <xf numFmtId="166" fontId="21" fillId="0" borderId="17" xfId="166" applyNumberFormat="1" applyFont="1" applyBorder="1" applyAlignment="1" applyProtection="1">
      <alignment horizontal="right" vertical="center" shrinkToFit="1"/>
      <protection hidden="1"/>
    </xf>
    <xf numFmtId="0" fontId="26" fillId="0" borderId="39" xfId="166" applyFont="1" applyBorder="1" applyAlignment="1" applyProtection="1">
      <alignment horizontal="center" vertical="center" shrinkToFit="1"/>
      <protection hidden="1"/>
    </xf>
    <xf numFmtId="0" fontId="26" fillId="0" borderId="0" xfId="166" applyFont="1" applyAlignment="1" applyProtection="1">
      <alignment horizontal="center" vertical="center" shrinkToFit="1"/>
      <protection hidden="1"/>
    </xf>
    <xf numFmtId="0" fontId="26" fillId="0" borderId="17" xfId="166" applyFont="1" applyBorder="1" applyAlignment="1" applyProtection="1">
      <alignment horizontal="center" vertical="center" shrinkToFit="1"/>
      <protection hidden="1"/>
    </xf>
    <xf numFmtId="188" fontId="26" fillId="0" borderId="0" xfId="166" applyNumberFormat="1" applyFont="1" applyAlignment="1" applyProtection="1">
      <alignment horizontal="right" vertical="center" shrinkToFit="1"/>
      <protection hidden="1"/>
    </xf>
    <xf numFmtId="188" fontId="26" fillId="0" borderId="39" xfId="166" applyNumberFormat="1" applyFont="1" applyBorder="1" applyAlignment="1" applyProtection="1">
      <alignment horizontal="right" vertical="center" shrinkToFit="1"/>
      <protection hidden="1"/>
    </xf>
    <xf numFmtId="188" fontId="26" fillId="0" borderId="17" xfId="166" applyNumberFormat="1" applyFont="1" applyBorder="1" applyAlignment="1" applyProtection="1">
      <alignment horizontal="right" vertical="center" shrinkToFit="1"/>
      <protection hidden="1"/>
    </xf>
    <xf numFmtId="185" fontId="26" fillId="0" borderId="6" xfId="166" applyNumberFormat="1" applyFont="1" applyBorder="1" applyAlignment="1" applyProtection="1">
      <alignment horizontal="right" vertical="center" shrinkToFit="1"/>
      <protection hidden="1"/>
    </xf>
    <xf numFmtId="185" fontId="26" fillId="0" borderId="34" xfId="166" applyNumberFormat="1" applyFont="1" applyBorder="1" applyAlignment="1" applyProtection="1">
      <alignment horizontal="right" vertical="center" shrinkToFit="1"/>
      <protection hidden="1"/>
    </xf>
    <xf numFmtId="185" fontId="26" fillId="0" borderId="5" xfId="166" applyNumberFormat="1" applyFont="1" applyBorder="1" applyAlignment="1" applyProtection="1">
      <alignment horizontal="right" vertical="center" shrinkToFit="1"/>
      <protection hidden="1"/>
    </xf>
    <xf numFmtId="185" fontId="27" fillId="0" borderId="0" xfId="166" applyNumberFormat="1" applyFont="1" applyAlignment="1" applyProtection="1">
      <alignment horizontal="right" vertical="center" shrinkToFit="1"/>
      <protection hidden="1"/>
    </xf>
    <xf numFmtId="185" fontId="27" fillId="0" borderId="39" xfId="166" applyNumberFormat="1" applyFont="1" applyBorder="1" applyAlignment="1" applyProtection="1">
      <alignment horizontal="right" vertical="center" shrinkToFit="1"/>
      <protection hidden="1"/>
    </xf>
    <xf numFmtId="185" fontId="27" fillId="0" borderId="17" xfId="166" applyNumberFormat="1" applyFont="1" applyBorder="1" applyAlignment="1" applyProtection="1">
      <alignment horizontal="right" vertical="center" shrinkToFit="1"/>
      <protection hidden="1"/>
    </xf>
    <xf numFmtId="166" fontId="25" fillId="0" borderId="1" xfId="166" applyNumberFormat="1" applyFont="1" applyBorder="1" applyAlignment="1" applyProtection="1">
      <alignment horizontal="right" vertical="center" shrinkToFit="1"/>
      <protection hidden="1"/>
    </xf>
    <xf numFmtId="166" fontId="25" fillId="0" borderId="45" xfId="166" applyNumberFormat="1" applyFont="1" applyBorder="1" applyAlignment="1" applyProtection="1">
      <alignment horizontal="right" vertical="center" shrinkToFit="1"/>
      <protection hidden="1"/>
    </xf>
    <xf numFmtId="166" fontId="25" fillId="0" borderId="114" xfId="166" applyNumberFormat="1" applyFont="1" applyBorder="1" applyAlignment="1" applyProtection="1">
      <alignment horizontal="right" vertical="center" shrinkToFit="1"/>
      <protection hidden="1"/>
    </xf>
    <xf numFmtId="165" fontId="26" fillId="19" borderId="9" xfId="163" applyNumberFormat="1" applyFont="1" applyFill="1" applyBorder="1" applyAlignment="1" applyProtection="1">
      <alignment horizontal="right" vertical="center" shrinkToFit="1"/>
      <protection hidden="1"/>
    </xf>
    <xf numFmtId="165" fontId="26" fillId="0" borderId="0" xfId="163" applyNumberFormat="1" applyFont="1" applyFill="1" applyBorder="1" applyAlignment="1" applyProtection="1">
      <alignment horizontal="right" vertical="center" shrinkToFit="1"/>
      <protection hidden="1"/>
    </xf>
    <xf numFmtId="165" fontId="26" fillId="19" borderId="26" xfId="163" applyNumberFormat="1" applyFont="1" applyFill="1" applyBorder="1" applyAlignment="1" applyProtection="1">
      <alignment horizontal="right" vertical="center" shrinkToFit="1"/>
      <protection hidden="1"/>
    </xf>
    <xf numFmtId="165" fontId="26" fillId="19" borderId="9" xfId="163" applyNumberFormat="1" applyFont="1" applyFill="1" applyBorder="1" applyAlignment="1" applyProtection="1">
      <alignment horizontal="right" vertical="center" shrinkToFit="1"/>
      <protection locked="0" hidden="1"/>
    </xf>
    <xf numFmtId="165" fontId="26" fillId="0" borderId="17" xfId="163" applyNumberFormat="1" applyFont="1" applyFill="1" applyBorder="1" applyAlignment="1" applyProtection="1">
      <alignment horizontal="right" vertical="center" shrinkToFit="1"/>
      <protection hidden="1"/>
    </xf>
    <xf numFmtId="166" fontId="22" fillId="0" borderId="39" xfId="166" applyNumberFormat="1" applyFont="1" applyBorder="1" applyAlignment="1" applyProtection="1">
      <alignment horizontal="right" vertical="center" shrinkToFit="1"/>
      <protection hidden="1"/>
    </xf>
    <xf numFmtId="166" fontId="22" fillId="0" borderId="17" xfId="166" applyNumberFormat="1" applyFont="1" applyBorder="1" applyAlignment="1" applyProtection="1">
      <alignment horizontal="right" vertical="center" shrinkToFit="1"/>
      <protection hidden="1"/>
    </xf>
    <xf numFmtId="0" fontId="21" fillId="0" borderId="0" xfId="166" applyFont="1" applyAlignment="1" applyProtection="1">
      <alignment horizontal="right" vertical="top" shrinkToFit="1"/>
      <protection hidden="1"/>
    </xf>
    <xf numFmtId="0" fontId="21" fillId="0" borderId="39" xfId="166" applyFont="1" applyBorder="1" applyAlignment="1" applyProtection="1">
      <alignment horizontal="right" vertical="top" shrinkToFit="1"/>
      <protection hidden="1"/>
    </xf>
    <xf numFmtId="0" fontId="30" fillId="0" borderId="0" xfId="166" applyFont="1" applyAlignment="1" applyProtection="1">
      <alignment horizontal="right" vertical="top" shrinkToFit="1"/>
      <protection hidden="1"/>
    </xf>
    <xf numFmtId="0" fontId="23" fillId="0" borderId="39" xfId="161" applyFont="1" applyBorder="1" applyAlignment="1" applyProtection="1">
      <alignment horizontal="right" vertical="top" shrinkToFit="1"/>
      <protection hidden="1"/>
    </xf>
    <xf numFmtId="0" fontId="23" fillId="0" borderId="0" xfId="166" applyFont="1" applyAlignment="1" applyProtection="1">
      <alignment horizontal="right" shrinkToFit="1"/>
      <protection hidden="1"/>
    </xf>
    <xf numFmtId="186" fontId="26" fillId="19" borderId="106" xfId="166" applyNumberFormat="1" applyFont="1" applyFill="1" applyBorder="1" applyAlignment="1" applyProtection="1">
      <alignment horizontal="right" vertical="center" shrinkToFit="1"/>
      <protection hidden="1"/>
    </xf>
    <xf numFmtId="186" fontId="26" fillId="19" borderId="3" xfId="166" applyNumberFormat="1" applyFont="1" applyFill="1" applyBorder="1" applyAlignment="1" applyProtection="1">
      <alignment horizontal="right" vertical="center" shrinkToFit="1"/>
      <protection hidden="1"/>
    </xf>
    <xf numFmtId="186" fontId="26" fillId="19" borderId="45" xfId="166" applyNumberFormat="1" applyFont="1" applyFill="1" applyBorder="1" applyAlignment="1" applyProtection="1">
      <alignment horizontal="right" vertical="center" shrinkToFit="1"/>
      <protection hidden="1"/>
    </xf>
    <xf numFmtId="186" fontId="26" fillId="19" borderId="106" xfId="166" applyNumberFormat="1" applyFont="1" applyFill="1" applyBorder="1" applyAlignment="1" applyProtection="1">
      <alignment horizontal="right" vertical="center" shrinkToFit="1"/>
      <protection locked="0" hidden="1"/>
    </xf>
    <xf numFmtId="186" fontId="26" fillId="19" borderId="3" xfId="166" applyNumberFormat="1" applyFont="1" applyFill="1" applyBorder="1" applyAlignment="1" applyProtection="1">
      <alignment horizontal="right" vertical="center" shrinkToFit="1"/>
      <protection locked="0" hidden="1"/>
    </xf>
    <xf numFmtId="186" fontId="26" fillId="19" borderId="114" xfId="166" applyNumberFormat="1" applyFont="1" applyFill="1" applyBorder="1" applyAlignment="1" applyProtection="1">
      <alignment horizontal="right" vertical="center" shrinkToFit="1"/>
      <protection locked="0" hidden="1"/>
    </xf>
    <xf numFmtId="185" fontId="26" fillId="0" borderId="0" xfId="166" applyNumberFormat="1" applyFont="1" applyAlignment="1" applyProtection="1">
      <alignment horizontal="right" vertical="center" shrinkToFit="1"/>
      <protection hidden="1"/>
    </xf>
    <xf numFmtId="185" fontId="26" fillId="0" borderId="39" xfId="166" applyNumberFormat="1" applyFont="1" applyBorder="1" applyAlignment="1" applyProtection="1">
      <alignment horizontal="right" vertical="center" shrinkToFit="1"/>
      <protection hidden="1"/>
    </xf>
    <xf numFmtId="185" fontId="26" fillId="0" borderId="17" xfId="166" applyNumberFormat="1" applyFont="1" applyBorder="1" applyAlignment="1" applyProtection="1">
      <alignment horizontal="right" vertical="center" shrinkToFit="1"/>
      <protection hidden="1"/>
    </xf>
    <xf numFmtId="186" fontId="26" fillId="19" borderId="114" xfId="166" applyNumberFormat="1" applyFont="1" applyFill="1" applyBorder="1" applyAlignment="1" applyProtection="1">
      <alignment horizontal="right" vertical="center" shrinkToFit="1"/>
      <protection hidden="1"/>
    </xf>
    <xf numFmtId="165" fontId="21" fillId="0" borderId="0" xfId="166" applyNumberFormat="1" applyFont="1" applyAlignment="1" applyProtection="1">
      <alignment horizontal="right" vertical="center" shrinkToFit="1"/>
      <protection hidden="1"/>
    </xf>
    <xf numFmtId="0" fontId="53" fillId="0" borderId="0" xfId="166" applyFont="1" applyAlignment="1" applyProtection="1">
      <alignment horizontal="right" vertical="center" shrinkToFit="1"/>
      <protection hidden="1"/>
    </xf>
    <xf numFmtId="0" fontId="53" fillId="0" borderId="0" xfId="166" applyFont="1" applyAlignment="1" applyProtection="1">
      <alignment horizontal="center" vertical="center" shrinkToFit="1"/>
      <protection hidden="1"/>
    </xf>
    <xf numFmtId="0" fontId="0" fillId="0" borderId="0" xfId="0" applyAlignment="1" applyProtection="1">
      <alignment shrinkToFit="1"/>
      <protection hidden="1"/>
    </xf>
    <xf numFmtId="0" fontId="26" fillId="0" borderId="0" xfId="166" applyFont="1" applyAlignment="1" applyProtection="1">
      <alignment horizontal="right" vertical="center" shrinkToFit="1"/>
      <protection hidden="1"/>
    </xf>
    <xf numFmtId="9" fontId="26" fillId="19" borderId="2" xfId="163" applyFont="1" applyFill="1" applyBorder="1" applyAlignment="1" applyProtection="1">
      <alignment horizontal="right" vertical="center" shrinkToFit="1"/>
      <protection locked="0" hidden="1"/>
    </xf>
    <xf numFmtId="9" fontId="26" fillId="19" borderId="26" xfId="163" applyFont="1" applyFill="1" applyBorder="1" applyAlignment="1" applyProtection="1">
      <alignment horizontal="right" vertical="center" shrinkToFit="1"/>
      <protection hidden="1"/>
    </xf>
    <xf numFmtId="9" fontId="26" fillId="19" borderId="9" xfId="163" applyFont="1" applyFill="1" applyBorder="1" applyAlignment="1" applyProtection="1">
      <alignment horizontal="right" vertical="center" shrinkToFit="1"/>
      <protection locked="0" hidden="1"/>
    </xf>
    <xf numFmtId="9" fontId="26" fillId="19" borderId="8" xfId="163" applyFont="1" applyFill="1" applyBorder="1" applyAlignment="1" applyProtection="1">
      <alignment horizontal="right" vertical="center" shrinkToFit="1"/>
      <protection locked="0" hidden="1"/>
    </xf>
    <xf numFmtId="186" fontId="26" fillId="19" borderId="2" xfId="166" applyNumberFormat="1" applyFont="1" applyFill="1" applyBorder="1" applyAlignment="1" applyProtection="1">
      <alignment horizontal="right" vertical="center" shrinkToFit="1"/>
      <protection locked="0" hidden="1"/>
    </xf>
    <xf numFmtId="186" fontId="26" fillId="19" borderId="26" xfId="166" applyNumberFormat="1" applyFont="1" applyFill="1" applyBorder="1" applyAlignment="1" applyProtection="1">
      <alignment horizontal="right" vertical="center" shrinkToFit="1"/>
      <protection hidden="1"/>
    </xf>
    <xf numFmtId="186" fontId="26" fillId="19" borderId="9" xfId="166" applyNumberFormat="1" applyFont="1" applyFill="1" applyBorder="1" applyAlignment="1" applyProtection="1">
      <alignment horizontal="right" vertical="center" shrinkToFit="1"/>
      <protection locked="0" hidden="1"/>
    </xf>
    <xf numFmtId="186" fontId="26" fillId="19" borderId="8" xfId="166" applyNumberFormat="1" applyFont="1" applyFill="1" applyBorder="1" applyAlignment="1" applyProtection="1">
      <alignment horizontal="right" vertical="center" shrinkToFit="1"/>
      <protection locked="0" hidden="1"/>
    </xf>
    <xf numFmtId="166" fontId="22" fillId="0" borderId="1" xfId="166" applyNumberFormat="1" applyFont="1" applyBorder="1" applyAlignment="1" applyProtection="1">
      <alignment horizontal="right" vertical="center" shrinkToFit="1"/>
      <protection hidden="1"/>
    </xf>
    <xf numFmtId="185" fontId="26" fillId="0" borderId="55" xfId="166" applyNumberFormat="1" applyFont="1" applyBorder="1" applyAlignment="1" applyProtection="1">
      <alignment horizontal="right" vertical="center" shrinkToFit="1"/>
      <protection hidden="1"/>
    </xf>
    <xf numFmtId="202" fontId="27" fillId="0" borderId="0" xfId="161" applyNumberFormat="1" applyFont="1" applyAlignment="1" applyProtection="1">
      <alignment horizontal="right" shrinkToFit="1"/>
      <protection hidden="1"/>
    </xf>
    <xf numFmtId="202" fontId="27" fillId="0" borderId="39" xfId="161" applyNumberFormat="1" applyFont="1" applyBorder="1" applyAlignment="1" applyProtection="1">
      <alignment horizontal="right" shrinkToFit="1"/>
      <protection hidden="1"/>
    </xf>
    <xf numFmtId="202" fontId="27" fillId="0" borderId="4" xfId="161" applyNumberFormat="1" applyFont="1" applyBorder="1" applyAlignment="1" applyProtection="1">
      <alignment horizontal="right" shrinkToFit="1"/>
      <protection hidden="1"/>
    </xf>
    <xf numFmtId="202" fontId="27" fillId="0" borderId="29" xfId="161" applyNumberFormat="1" applyFont="1" applyBorder="1" applyAlignment="1" applyProtection="1">
      <alignment horizontal="right" shrinkToFit="1"/>
      <protection hidden="1"/>
    </xf>
    <xf numFmtId="166" fontId="21" fillId="0" borderId="39" xfId="161" applyNumberFormat="1" applyFont="1" applyBorder="1" applyAlignment="1" applyProtection="1">
      <alignment horizontal="center" vertical="center" wrapText="1" shrinkToFit="1"/>
      <protection hidden="1"/>
    </xf>
    <xf numFmtId="166" fontId="21" fillId="0" borderId="4" xfId="161" applyNumberFormat="1" applyFont="1" applyBorder="1" applyAlignment="1" applyProtection="1">
      <alignment horizontal="center" vertical="center" wrapText="1" shrinkToFit="1"/>
      <protection hidden="1"/>
    </xf>
    <xf numFmtId="186" fontId="26" fillId="0" borderId="7" xfId="166" applyNumberFormat="1" applyFont="1" applyBorder="1" applyAlignment="1" applyProtection="1">
      <alignment horizontal="right" vertical="center" shrinkToFit="1"/>
      <protection hidden="1"/>
    </xf>
    <xf numFmtId="186" fontId="26" fillId="0" borderId="4" xfId="166" applyNumberFormat="1" applyFont="1" applyBorder="1" applyAlignment="1" applyProtection="1">
      <alignment horizontal="right" vertical="center" shrinkToFit="1"/>
      <protection hidden="1"/>
    </xf>
    <xf numFmtId="186" fontId="26" fillId="0" borderId="17" xfId="166" applyNumberFormat="1" applyFont="1" applyBorder="1" applyAlignment="1" applyProtection="1">
      <alignment horizontal="right" vertical="center" shrinkToFit="1"/>
      <protection hidden="1"/>
    </xf>
    <xf numFmtId="186" fontId="26" fillId="0" borderId="39" xfId="166" applyNumberFormat="1" applyFont="1" applyBorder="1" applyAlignment="1" applyProtection="1">
      <alignment horizontal="right" vertical="center" shrinkToFit="1"/>
      <protection hidden="1"/>
    </xf>
    <xf numFmtId="186" fontId="26" fillId="0" borderId="29" xfId="166" applyNumberFormat="1" applyFont="1" applyBorder="1" applyAlignment="1" applyProtection="1">
      <alignment horizontal="right" vertical="center" shrinkToFit="1"/>
      <protection hidden="1"/>
    </xf>
    <xf numFmtId="186" fontId="26" fillId="0" borderId="0" xfId="166" applyNumberFormat="1" applyFont="1" applyAlignment="1" applyProtection="1">
      <alignment horizontal="right" vertical="center" shrinkToFit="1"/>
      <protection hidden="1"/>
    </xf>
    <xf numFmtId="189" fontId="26" fillId="0" borderId="0" xfId="166" applyNumberFormat="1" applyFont="1" applyAlignment="1" applyProtection="1">
      <alignment horizontal="right" vertical="center" shrinkToFit="1"/>
      <protection hidden="1"/>
    </xf>
    <xf numFmtId="0" fontId="72" fillId="0" borderId="0" xfId="166" applyFont="1" applyAlignment="1" applyProtection="1">
      <alignment horizontal="right" vertical="center" shrinkToFit="1"/>
      <protection hidden="1"/>
    </xf>
    <xf numFmtId="0" fontId="72" fillId="0" borderId="39" xfId="166" applyFont="1" applyBorder="1" applyAlignment="1" applyProtection="1">
      <alignment horizontal="right" vertical="center" shrinkToFit="1"/>
      <protection hidden="1"/>
    </xf>
    <xf numFmtId="189" fontId="26" fillId="19" borderId="2" xfId="166" applyNumberFormat="1" applyFont="1" applyFill="1" applyBorder="1" applyAlignment="1" applyProtection="1">
      <alignment horizontal="right" vertical="center" shrinkToFit="1"/>
      <protection hidden="1"/>
    </xf>
    <xf numFmtId="189" fontId="26" fillId="19" borderId="2" xfId="166" applyNumberFormat="1" applyFont="1" applyFill="1" applyBorder="1" applyAlignment="1" applyProtection="1">
      <alignment horizontal="right" vertical="center" shrinkToFit="1"/>
      <protection locked="0" hidden="1"/>
    </xf>
    <xf numFmtId="189" fontId="27" fillId="0" borderId="0" xfId="166" applyNumberFormat="1" applyFont="1" applyAlignment="1" applyProtection="1">
      <alignment horizontal="right" vertical="center" shrinkToFit="1"/>
      <protection hidden="1"/>
    </xf>
    <xf numFmtId="0" fontId="0" fillId="0" borderId="0" xfId="0" applyAlignment="1" applyProtection="1">
      <alignment horizontal="right" shrinkToFit="1"/>
      <protection hidden="1"/>
    </xf>
    <xf numFmtId="213" fontId="21" fillId="0" borderId="0" xfId="166" applyNumberFormat="1" applyFont="1" applyAlignment="1" applyProtection="1">
      <alignment horizontal="right" vertical="center" shrinkToFit="1"/>
      <protection hidden="1"/>
    </xf>
    <xf numFmtId="223" fontId="26" fillId="19" borderId="8" xfId="161" applyNumberFormat="1" applyFont="1" applyFill="1" applyBorder="1" applyAlignment="1" applyProtection="1">
      <alignment horizontal="right" vertical="center" shrinkToFit="1"/>
      <protection locked="0" hidden="1"/>
    </xf>
    <xf numFmtId="223" fontId="26" fillId="19" borderId="26" xfId="161" applyNumberFormat="1" applyFont="1" applyFill="1" applyBorder="1" applyAlignment="1" applyProtection="1">
      <alignment horizontal="right" vertical="center" shrinkToFit="1"/>
      <protection locked="0" hidden="1"/>
    </xf>
    <xf numFmtId="189" fontId="26" fillId="0" borderId="39" xfId="166" applyNumberFormat="1" applyFont="1" applyBorder="1" applyAlignment="1" applyProtection="1">
      <alignment horizontal="right" vertical="center" shrinkToFit="1"/>
      <protection hidden="1"/>
    </xf>
    <xf numFmtId="189" fontId="26" fillId="19" borderId="18" xfId="166" applyNumberFormat="1" applyFont="1" applyFill="1" applyBorder="1" applyAlignment="1" applyProtection="1">
      <alignment horizontal="right" vertical="center" shrinkToFit="1"/>
      <protection locked="0" hidden="1"/>
    </xf>
    <xf numFmtId="189" fontId="26" fillId="19" borderId="9" xfId="166" applyNumberFormat="1" applyFont="1" applyFill="1" applyBorder="1" applyAlignment="1" applyProtection="1">
      <alignment horizontal="right" vertical="center" shrinkToFit="1"/>
      <protection locked="0" hidden="1"/>
    </xf>
    <xf numFmtId="189" fontId="26" fillId="19" borderId="26" xfId="166" applyNumberFormat="1" applyFont="1" applyFill="1" applyBorder="1" applyAlignment="1" applyProtection="1">
      <alignment horizontal="right" vertical="center" shrinkToFit="1"/>
      <protection locked="0" hidden="1"/>
    </xf>
    <xf numFmtId="213" fontId="21" fillId="0" borderId="39" xfId="166" applyNumberFormat="1" applyFont="1" applyBorder="1" applyAlignment="1" applyProtection="1">
      <alignment horizontal="right" vertical="center" shrinkToFit="1"/>
      <protection hidden="1"/>
    </xf>
    <xf numFmtId="190" fontId="27" fillId="0" borderId="39" xfId="161" applyNumberFormat="1" applyFont="1" applyBorder="1" applyAlignment="1" applyProtection="1">
      <alignment horizontal="right" vertical="center" shrinkToFit="1"/>
      <protection hidden="1"/>
    </xf>
    <xf numFmtId="189" fontId="26" fillId="19" borderId="26" xfId="166" applyNumberFormat="1" applyFont="1" applyFill="1" applyBorder="1" applyAlignment="1" applyProtection="1">
      <alignment horizontal="right" vertical="center" shrinkToFit="1"/>
      <protection hidden="1"/>
    </xf>
    <xf numFmtId="189" fontId="27" fillId="0" borderId="39" xfId="166" applyNumberFormat="1" applyFont="1" applyBorder="1" applyAlignment="1" applyProtection="1">
      <alignment horizontal="right" vertical="center" shrinkToFit="1"/>
      <protection hidden="1"/>
    </xf>
    <xf numFmtId="189" fontId="26" fillId="19" borderId="18" xfId="166" applyNumberFormat="1" applyFont="1" applyFill="1" applyBorder="1" applyAlignment="1" applyProtection="1">
      <alignment horizontal="right" vertical="center" shrinkToFit="1"/>
      <protection hidden="1"/>
    </xf>
    <xf numFmtId="189" fontId="26" fillId="19" borderId="126" xfId="166" applyNumberFormat="1" applyFont="1" applyFill="1" applyBorder="1" applyAlignment="1" applyProtection="1">
      <alignment horizontal="right" vertical="center" shrinkToFit="1"/>
      <protection hidden="1"/>
    </xf>
    <xf numFmtId="0" fontId="26" fillId="0" borderId="0" xfId="166" applyFont="1" applyAlignment="1" applyProtection="1">
      <alignment horizontal="right" vertical="top" wrapText="1"/>
      <protection hidden="1"/>
    </xf>
    <xf numFmtId="0" fontId="26" fillId="0" borderId="39" xfId="161" applyFont="1" applyBorder="1" applyAlignment="1" applyProtection="1">
      <alignment horizontal="right" vertical="top" wrapText="1"/>
      <protection hidden="1"/>
    </xf>
    <xf numFmtId="0" fontId="26" fillId="0" borderId="0" xfId="166" applyFont="1" applyAlignment="1" applyProtection="1">
      <alignment horizontal="center" vertical="top" wrapText="1"/>
      <protection hidden="1"/>
    </xf>
    <xf numFmtId="0" fontId="26" fillId="0" borderId="17" xfId="166" applyFont="1" applyBorder="1" applyAlignment="1" applyProtection="1">
      <alignment horizontal="center" vertical="top" wrapText="1"/>
      <protection hidden="1"/>
    </xf>
    <xf numFmtId="0" fontId="26" fillId="0" borderId="39" xfId="166" applyFont="1" applyBorder="1" applyAlignment="1" applyProtection="1">
      <alignment horizontal="right" vertical="top" wrapText="1"/>
      <protection hidden="1"/>
    </xf>
    <xf numFmtId="192" fontId="21" fillId="2" borderId="57" xfId="163" applyNumberFormat="1" applyFont="1" applyFill="1" applyBorder="1" applyAlignment="1" applyProtection="1">
      <alignment horizontal="right" vertical="center" shrinkToFit="1"/>
      <protection hidden="1"/>
    </xf>
    <xf numFmtId="192" fontId="21" fillId="2" borderId="58" xfId="163" applyNumberFormat="1" applyFont="1" applyFill="1" applyBorder="1" applyAlignment="1" applyProtection="1">
      <alignment horizontal="right" vertical="center" shrinkToFit="1"/>
      <protection hidden="1"/>
    </xf>
    <xf numFmtId="192" fontId="21" fillId="2" borderId="59" xfId="163" applyNumberFormat="1" applyFont="1" applyFill="1" applyBorder="1" applyAlignment="1" applyProtection="1">
      <alignment horizontal="right" vertical="center" shrinkToFit="1"/>
      <protection hidden="1"/>
    </xf>
    <xf numFmtId="192" fontId="26" fillId="19" borderId="3" xfId="163" applyNumberFormat="1" applyFont="1" applyFill="1" applyBorder="1" applyAlignment="1" applyProtection="1">
      <alignment horizontal="right" vertical="center" shrinkToFit="1"/>
      <protection locked="0" hidden="1"/>
    </xf>
    <xf numFmtId="0" fontId="26" fillId="7" borderId="130" xfId="166" applyFont="1" applyFill="1" applyBorder="1" applyAlignment="1" applyProtection="1">
      <alignment horizontal="right" vertical="center"/>
      <protection hidden="1"/>
    </xf>
    <xf numFmtId="165" fontId="21" fillId="0" borderId="0" xfId="166" applyNumberFormat="1" applyFont="1" applyAlignment="1" applyProtection="1">
      <alignment horizontal="right" vertical="center"/>
      <protection hidden="1"/>
    </xf>
    <xf numFmtId="165" fontId="21" fillId="0" borderId="4" xfId="166" applyNumberFormat="1" applyFont="1" applyBorder="1" applyAlignment="1" applyProtection="1">
      <alignment horizontal="right" vertical="center"/>
      <protection hidden="1"/>
    </xf>
    <xf numFmtId="0" fontId="53" fillId="0" borderId="0" xfId="166" applyFont="1" applyAlignment="1">
      <alignment horizontal="center" vertical="center"/>
    </xf>
    <xf numFmtId="165" fontId="21" fillId="0" borderId="6" xfId="163" applyNumberFormat="1" applyFont="1" applyBorder="1" applyAlignment="1">
      <alignment vertical="center"/>
    </xf>
    <xf numFmtId="165" fontId="21" fillId="0" borderId="5" xfId="163" applyNumberFormat="1" applyFont="1" applyBorder="1" applyAlignment="1">
      <alignment vertical="center"/>
    </xf>
    <xf numFmtId="166" fontId="22" fillId="3" borderId="87" xfId="166" applyNumberFormat="1" applyFont="1" applyFill="1" applyBorder="1" applyAlignment="1" applyProtection="1">
      <alignment horizontal="right" vertical="center"/>
      <protection hidden="1"/>
    </xf>
    <xf numFmtId="165" fontId="26" fillId="19" borderId="84" xfId="163" applyNumberFormat="1" applyFont="1" applyFill="1" applyBorder="1" applyAlignment="1" applyProtection="1">
      <alignment horizontal="right" vertical="center"/>
      <protection locked="0" hidden="1"/>
    </xf>
    <xf numFmtId="165" fontId="26" fillId="19" borderId="5" xfId="163" applyNumberFormat="1" applyFont="1" applyFill="1" applyBorder="1" applyAlignment="1" applyProtection="1">
      <alignment horizontal="right" vertical="center"/>
      <protection locked="0" hidden="1"/>
    </xf>
    <xf numFmtId="165" fontId="26" fillId="19" borderId="55" xfId="163" applyNumberFormat="1" applyFont="1" applyFill="1" applyBorder="1" applyAlignment="1" applyProtection="1">
      <alignment horizontal="right" vertical="center"/>
      <protection locked="0" hidden="1"/>
    </xf>
    <xf numFmtId="165" fontId="26" fillId="19" borderId="85" xfId="163" applyNumberFormat="1" applyFont="1" applyFill="1" applyBorder="1" applyAlignment="1" applyProtection="1">
      <alignment horizontal="right" vertical="center"/>
      <protection locked="0" hidden="1"/>
    </xf>
    <xf numFmtId="166" fontId="21" fillId="3" borderId="81" xfId="166" applyNumberFormat="1" applyFont="1" applyFill="1" applyBorder="1" applyAlignment="1" applyProtection="1">
      <alignment horizontal="right" vertical="center"/>
      <protection hidden="1"/>
    </xf>
    <xf numFmtId="166" fontId="21" fillId="3" borderId="0" xfId="166" applyNumberFormat="1" applyFont="1" applyFill="1" applyAlignment="1" applyProtection="1">
      <alignment horizontal="right" vertical="center"/>
      <protection hidden="1"/>
    </xf>
    <xf numFmtId="166" fontId="21" fillId="3" borderId="17" xfId="166" applyNumberFormat="1" applyFont="1" applyFill="1" applyBorder="1" applyAlignment="1" applyProtection="1">
      <alignment horizontal="right" vertical="center"/>
      <protection hidden="1"/>
    </xf>
    <xf numFmtId="166" fontId="21" fillId="3" borderId="82" xfId="166" applyNumberFormat="1" applyFont="1" applyFill="1" applyBorder="1" applyAlignment="1" applyProtection="1">
      <alignment horizontal="right" vertical="center"/>
      <protection hidden="1"/>
    </xf>
    <xf numFmtId="166" fontId="21" fillId="19" borderId="79" xfId="166" applyNumberFormat="1" applyFont="1" applyFill="1" applyBorder="1" applyAlignment="1" applyProtection="1">
      <alignment horizontal="right" vertical="center"/>
      <protection locked="0" hidden="1"/>
    </xf>
    <xf numFmtId="166" fontId="21" fillId="19" borderId="2" xfId="166" applyNumberFormat="1" applyFont="1" applyFill="1" applyBorder="1" applyAlignment="1" applyProtection="1">
      <alignment horizontal="right" vertical="center"/>
      <protection locked="0" hidden="1"/>
    </xf>
    <xf numFmtId="166" fontId="21" fillId="19" borderId="18" xfId="166" applyNumberFormat="1" applyFont="1" applyFill="1" applyBorder="1" applyAlignment="1" applyProtection="1">
      <alignment horizontal="right" vertical="center"/>
      <protection locked="0" hidden="1"/>
    </xf>
    <xf numFmtId="166" fontId="21" fillId="19" borderId="80" xfId="166" applyNumberFormat="1" applyFont="1" applyFill="1" applyBorder="1" applyAlignment="1" applyProtection="1">
      <alignment horizontal="right" vertical="center"/>
      <protection locked="0" hidden="1"/>
    </xf>
    <xf numFmtId="166" fontId="22" fillId="3" borderId="81" xfId="166" applyNumberFormat="1" applyFont="1" applyFill="1" applyBorder="1" applyAlignment="1" applyProtection="1">
      <alignment horizontal="right" vertical="center"/>
      <protection hidden="1"/>
    </xf>
    <xf numFmtId="166" fontId="22" fillId="3" borderId="0" xfId="166" applyNumberFormat="1" applyFont="1" applyFill="1" applyAlignment="1" applyProtection="1">
      <alignment horizontal="right" vertical="center"/>
      <protection hidden="1"/>
    </xf>
    <xf numFmtId="166" fontId="22" fillId="3" borderId="17" xfId="166" applyNumberFormat="1" applyFont="1" applyFill="1" applyBorder="1" applyAlignment="1" applyProtection="1">
      <alignment horizontal="right" vertical="center"/>
      <protection hidden="1"/>
    </xf>
    <xf numFmtId="166" fontId="22" fillId="3" borderId="82" xfId="166" applyNumberFormat="1" applyFont="1" applyFill="1" applyBorder="1" applyAlignment="1" applyProtection="1">
      <alignment horizontal="right" vertical="center"/>
      <protection hidden="1"/>
    </xf>
    <xf numFmtId="194" fontId="21" fillId="19" borderId="79" xfId="166" applyNumberFormat="1" applyFont="1" applyFill="1" applyBorder="1" applyAlignment="1" applyProtection="1">
      <alignment horizontal="right" vertical="center"/>
      <protection locked="0" hidden="1"/>
    </xf>
    <xf numFmtId="194" fontId="21" fillId="19" borderId="2" xfId="166" applyNumberFormat="1" applyFont="1" applyFill="1" applyBorder="1" applyAlignment="1" applyProtection="1">
      <alignment horizontal="right" vertical="center"/>
      <protection locked="0" hidden="1"/>
    </xf>
    <xf numFmtId="194" fontId="21" fillId="19" borderId="80" xfId="166" applyNumberFormat="1" applyFont="1" applyFill="1" applyBorder="1" applyAlignment="1" applyProtection="1">
      <alignment horizontal="right" vertical="center"/>
      <protection locked="0" hidden="1"/>
    </xf>
    <xf numFmtId="192" fontId="26" fillId="19" borderId="79" xfId="163" applyNumberFormat="1" applyFont="1" applyFill="1" applyBorder="1" applyAlignment="1" applyProtection="1">
      <alignment horizontal="right" vertical="center"/>
      <protection locked="0" hidden="1"/>
    </xf>
    <xf numFmtId="192" fontId="26" fillId="19" borderId="2" xfId="163" applyNumberFormat="1" applyFont="1" applyFill="1" applyBorder="1" applyAlignment="1" applyProtection="1">
      <alignment horizontal="right" vertical="center"/>
      <protection locked="0" hidden="1"/>
    </xf>
    <xf numFmtId="192" fontId="26" fillId="19" borderId="80" xfId="163" applyNumberFormat="1" applyFont="1" applyFill="1" applyBorder="1" applyAlignment="1" applyProtection="1">
      <alignment horizontal="right" vertical="center"/>
      <protection locked="0" hidden="1"/>
    </xf>
    <xf numFmtId="192" fontId="21" fillId="3" borderId="81" xfId="163" applyNumberFormat="1" applyFont="1" applyFill="1" applyBorder="1" applyAlignment="1" applyProtection="1">
      <alignment horizontal="right" vertical="center"/>
      <protection hidden="1"/>
    </xf>
    <xf numFmtId="192" fontId="21" fillId="3" borderId="0" xfId="163" applyNumberFormat="1" applyFont="1" applyFill="1" applyBorder="1" applyAlignment="1" applyProtection="1">
      <alignment horizontal="right" vertical="center"/>
      <protection hidden="1"/>
    </xf>
    <xf numFmtId="192" fontId="21" fillId="3" borderId="17" xfId="163" applyNumberFormat="1" applyFont="1" applyFill="1" applyBorder="1" applyAlignment="1" applyProtection="1">
      <alignment horizontal="right" vertical="center"/>
      <protection hidden="1"/>
    </xf>
    <xf numFmtId="192" fontId="21" fillId="3" borderId="82" xfId="163" applyNumberFormat="1" applyFont="1" applyFill="1" applyBorder="1" applyAlignment="1" applyProtection="1">
      <alignment horizontal="right" vertical="center"/>
      <protection hidden="1"/>
    </xf>
    <xf numFmtId="193" fontId="32" fillId="3" borderId="87" xfId="166" applyNumberFormat="1" applyFont="1" applyFill="1" applyBorder="1" applyAlignment="1" applyProtection="1">
      <alignment horizontal="right" vertical="center"/>
      <protection hidden="1"/>
    </xf>
    <xf numFmtId="193" fontId="32" fillId="3" borderId="86" xfId="166" applyNumberFormat="1" applyFont="1" applyFill="1" applyBorder="1" applyAlignment="1" applyProtection="1">
      <alignment horizontal="right" vertical="center"/>
      <protection hidden="1"/>
    </xf>
    <xf numFmtId="193" fontId="32" fillId="3" borderId="97" xfId="166" applyNumberFormat="1" applyFont="1" applyFill="1" applyBorder="1" applyAlignment="1" applyProtection="1">
      <alignment horizontal="right" vertical="center"/>
      <protection hidden="1"/>
    </xf>
    <xf numFmtId="193" fontId="32" fillId="3" borderId="88" xfId="166" applyNumberFormat="1" applyFont="1" applyFill="1" applyBorder="1" applyAlignment="1" applyProtection="1">
      <alignment horizontal="right" vertical="center"/>
      <protection hidden="1"/>
    </xf>
    <xf numFmtId="8" fontId="23" fillId="0" borderId="0" xfId="166" applyNumberFormat="1" applyFont="1" applyAlignment="1" applyProtection="1">
      <alignment horizontal="right" vertical="center"/>
      <protection hidden="1"/>
    </xf>
    <xf numFmtId="1" fontId="22" fillId="0" borderId="0" xfId="166" applyNumberFormat="1" applyFont="1" applyAlignment="1" applyProtection="1">
      <alignment horizontal="right" vertical="center"/>
      <protection hidden="1"/>
    </xf>
    <xf numFmtId="189" fontId="22" fillId="39" borderId="91" xfId="166" applyNumberFormat="1" applyFont="1" applyFill="1" applyBorder="1" applyAlignment="1" applyProtection="1">
      <alignment horizontal="right" vertical="center"/>
      <protection hidden="1"/>
    </xf>
    <xf numFmtId="189" fontId="22" fillId="39" borderId="116" xfId="166" applyNumberFormat="1" applyFont="1" applyFill="1" applyBorder="1" applyAlignment="1" applyProtection="1">
      <alignment horizontal="right" vertical="center"/>
      <protection hidden="1"/>
    </xf>
    <xf numFmtId="193" fontId="25" fillId="0" borderId="0" xfId="166" applyNumberFormat="1" applyFont="1" applyAlignment="1" applyProtection="1">
      <alignment horizontal="right" vertical="center"/>
      <protection hidden="1"/>
    </xf>
    <xf numFmtId="193" fontId="25" fillId="0" borderId="3" xfId="166" applyNumberFormat="1" applyFont="1" applyBorder="1" applyAlignment="1" applyProtection="1">
      <alignment horizontal="right" vertical="center"/>
      <protection hidden="1"/>
    </xf>
    <xf numFmtId="193" fontId="25" fillId="0" borderId="4" xfId="166" applyNumberFormat="1" applyFont="1" applyBorder="1" applyAlignment="1" applyProtection="1">
      <alignment horizontal="right" vertical="center"/>
      <protection hidden="1"/>
    </xf>
    <xf numFmtId="193" fontId="22" fillId="39" borderId="91" xfId="166" applyNumberFormat="1" applyFont="1" applyFill="1" applyBorder="1" applyAlignment="1" applyProtection="1">
      <alignment horizontal="right" vertical="center"/>
      <protection hidden="1"/>
    </xf>
    <xf numFmtId="193" fontId="22" fillId="39" borderId="116" xfId="166" applyNumberFormat="1" applyFont="1" applyFill="1" applyBorder="1" applyAlignment="1" applyProtection="1">
      <alignment horizontal="right" vertical="center"/>
      <protection hidden="1"/>
    </xf>
    <xf numFmtId="193" fontId="22" fillId="39" borderId="93" xfId="166" applyNumberFormat="1" applyFont="1" applyFill="1" applyBorder="1" applyAlignment="1" applyProtection="1">
      <alignment horizontal="right" vertical="center"/>
      <protection hidden="1"/>
    </xf>
    <xf numFmtId="166" fontId="22" fillId="0" borderId="119" xfId="166" applyNumberFormat="1" applyFont="1" applyBorder="1" applyAlignment="1" applyProtection="1">
      <alignment vertical="center"/>
      <protection hidden="1"/>
    </xf>
    <xf numFmtId="166" fontId="22" fillId="0" borderId="121" xfId="166" applyNumberFormat="1" applyFont="1" applyBorder="1" applyAlignment="1" applyProtection="1">
      <alignment vertical="center"/>
      <protection hidden="1"/>
    </xf>
    <xf numFmtId="166" fontId="22" fillId="0" borderId="0" xfId="166" applyNumberFormat="1" applyFont="1" applyAlignment="1" applyProtection="1">
      <alignment vertical="center"/>
      <protection hidden="1"/>
    </xf>
    <xf numFmtId="166" fontId="22" fillId="0" borderId="4" xfId="166" applyNumberFormat="1" applyFont="1" applyBorder="1" applyAlignment="1" applyProtection="1">
      <alignment vertical="center"/>
      <protection hidden="1"/>
    </xf>
    <xf numFmtId="189" fontId="27" fillId="0" borderId="14" xfId="166" applyNumberFormat="1" applyFont="1" applyBorder="1" applyAlignment="1" applyProtection="1">
      <alignment horizontal="right" vertical="center" shrinkToFit="1"/>
      <protection hidden="1"/>
    </xf>
    <xf numFmtId="189" fontId="27" fillId="0" borderId="25" xfId="166" applyNumberFormat="1" applyFont="1" applyBorder="1" applyAlignment="1" applyProtection="1">
      <alignment horizontal="right" vertical="center" shrinkToFit="1"/>
      <protection hidden="1"/>
    </xf>
    <xf numFmtId="0" fontId="26" fillId="0" borderId="14" xfId="166" applyFont="1" applyBorder="1" applyAlignment="1" applyProtection="1">
      <alignment horizontal="right" vertical="center" shrinkToFit="1"/>
      <protection hidden="1"/>
    </xf>
    <xf numFmtId="0" fontId="26" fillId="0" borderId="20" xfId="166" applyFont="1" applyBorder="1" applyAlignment="1" applyProtection="1">
      <alignment horizontal="right" vertical="center" shrinkToFit="1"/>
      <protection hidden="1"/>
    </xf>
    <xf numFmtId="0" fontId="26" fillId="0" borderId="6" xfId="166" applyFont="1" applyBorder="1" applyAlignment="1" applyProtection="1">
      <alignment horizontal="right" vertical="center" shrinkToFit="1"/>
      <protection hidden="1"/>
    </xf>
    <xf numFmtId="0" fontId="26" fillId="0" borderId="1" xfId="166" applyFont="1" applyBorder="1" applyAlignment="1" applyProtection="1">
      <alignment horizontal="right" vertical="center" shrinkToFit="1"/>
      <protection hidden="1"/>
    </xf>
    <xf numFmtId="0" fontId="53" fillId="6" borderId="0" xfId="166" applyFont="1" applyFill="1" applyAlignment="1">
      <alignment horizontal="right" vertical="center" shrinkToFit="1"/>
    </xf>
    <xf numFmtId="0" fontId="53" fillId="6" borderId="0" xfId="166" applyFont="1" applyFill="1" applyAlignment="1">
      <alignment horizontal="center" vertical="center" shrinkToFit="1"/>
    </xf>
    <xf numFmtId="0" fontId="53" fillId="0" borderId="14" xfId="166" applyFont="1" applyBorder="1" applyAlignment="1">
      <alignment horizontal="right" vertical="center" shrinkToFit="1"/>
    </xf>
    <xf numFmtId="0" fontId="53" fillId="0" borderId="14" xfId="166" applyFont="1" applyBorder="1" applyAlignment="1">
      <alignment horizontal="center" vertical="center" shrinkToFit="1"/>
    </xf>
    <xf numFmtId="0" fontId="35" fillId="0" borderId="14" xfId="166" applyFont="1" applyBorder="1" applyAlignment="1" applyProtection="1">
      <alignment horizontal="center" vertical="center" shrinkToFit="1"/>
      <protection hidden="1"/>
    </xf>
    <xf numFmtId="0" fontId="35" fillId="0" borderId="14" xfId="166" applyFont="1" applyBorder="1" applyAlignment="1" applyProtection="1">
      <alignment horizontal="left" vertical="center" shrinkToFit="1"/>
      <protection hidden="1"/>
    </xf>
    <xf numFmtId="0" fontId="53" fillId="0" borderId="6" xfId="166" applyFont="1" applyBorder="1" applyAlignment="1">
      <alignment horizontal="right" vertical="center" shrinkToFit="1"/>
    </xf>
    <xf numFmtId="0" fontId="53" fillId="0" borderId="6" xfId="166" applyFont="1" applyBorder="1" applyAlignment="1">
      <alignment horizontal="center" vertical="center" shrinkToFit="1"/>
    </xf>
    <xf numFmtId="0" fontId="35" fillId="0" borderId="6" xfId="166" applyFont="1" applyBorder="1" applyAlignment="1" applyProtection="1">
      <alignment horizontal="center" vertical="center" shrinkToFit="1"/>
      <protection hidden="1"/>
    </xf>
    <xf numFmtId="0" fontId="35" fillId="0" borderId="6" xfId="166" applyFont="1" applyBorder="1" applyAlignment="1" applyProtection="1">
      <alignment horizontal="left" vertical="center" shrinkToFit="1"/>
      <protection hidden="1"/>
    </xf>
    <xf numFmtId="0" fontId="53" fillId="0" borderId="0" xfId="166" applyFont="1" applyAlignment="1">
      <alignment horizontal="right" vertical="center" shrinkToFit="1"/>
    </xf>
    <xf numFmtId="202" fontId="26" fillId="0" borderId="20" xfId="161" applyNumberFormat="1" applyFont="1" applyBorder="1" applyAlignment="1" applyProtection="1">
      <alignment horizontal="right" shrinkToFit="1"/>
      <protection hidden="1"/>
    </xf>
    <xf numFmtId="202" fontId="26" fillId="0" borderId="24" xfId="161" applyNumberFormat="1" applyFont="1" applyBorder="1" applyAlignment="1" applyProtection="1">
      <alignment horizontal="right" shrinkToFit="1"/>
      <protection hidden="1"/>
    </xf>
    <xf numFmtId="203" fontId="26" fillId="0" borderId="0" xfId="161" applyNumberFormat="1" applyFont="1" applyAlignment="1" applyProtection="1">
      <alignment horizontal="right" shrinkToFit="1"/>
      <protection hidden="1"/>
    </xf>
    <xf numFmtId="203" fontId="26" fillId="0" borderId="4" xfId="161" applyNumberFormat="1" applyFont="1" applyBorder="1" applyAlignment="1" applyProtection="1">
      <alignment horizontal="right" shrinkToFit="1"/>
      <protection hidden="1"/>
    </xf>
    <xf numFmtId="0" fontId="73" fillId="0" borderId="0" xfId="166" applyFont="1" applyAlignment="1" applyProtection="1">
      <alignment horizontal="right" vertical="center" wrapText="1" shrinkToFit="1"/>
      <protection hidden="1"/>
    </xf>
    <xf numFmtId="0" fontId="73" fillId="0" borderId="4" xfId="166" applyFont="1" applyBorder="1" applyAlignment="1" applyProtection="1">
      <alignment horizontal="right" vertical="center" wrapText="1" shrinkToFit="1"/>
      <protection hidden="1"/>
    </xf>
    <xf numFmtId="0" fontId="73" fillId="0" borderId="29" xfId="166" applyFont="1" applyBorder="1" applyAlignment="1" applyProtection="1">
      <alignment horizontal="right" vertical="center" wrapText="1" shrinkToFit="1"/>
      <protection hidden="1"/>
    </xf>
    <xf numFmtId="0" fontId="23" fillId="0" borderId="0" xfId="166" applyFont="1" applyAlignment="1" applyProtection="1">
      <alignment horizontal="right" vertical="center" wrapText="1" shrinkToFit="1"/>
      <protection hidden="1"/>
    </xf>
    <xf numFmtId="189" fontId="26" fillId="0" borderId="14" xfId="166" applyNumberFormat="1" applyFont="1" applyBorder="1" applyAlignment="1" applyProtection="1">
      <alignment horizontal="right" vertical="center" wrapText="1" shrinkToFit="1"/>
      <protection hidden="1"/>
    </xf>
    <xf numFmtId="189" fontId="26" fillId="0" borderId="15" xfId="166" applyNumberFormat="1" applyFont="1" applyBorder="1" applyAlignment="1" applyProtection="1">
      <alignment horizontal="right" vertical="center" wrapText="1" shrinkToFit="1"/>
      <protection hidden="1"/>
    </xf>
    <xf numFmtId="189" fontId="26" fillId="0" borderId="30" xfId="166" applyNumberFormat="1" applyFont="1" applyBorder="1" applyAlignment="1" applyProtection="1">
      <alignment horizontal="right" vertical="center" wrapText="1" shrinkToFit="1"/>
      <protection hidden="1"/>
    </xf>
    <xf numFmtId="198" fontId="68" fillId="2" borderId="0" xfId="166" applyNumberFormat="1" applyFont="1" applyFill="1" applyAlignment="1">
      <alignment horizontal="right" vertical="center" shrinkToFit="1"/>
    </xf>
    <xf numFmtId="198" fontId="68" fillId="2" borderId="39" xfId="166" applyNumberFormat="1" applyFont="1" applyFill="1" applyBorder="1" applyAlignment="1">
      <alignment horizontal="right" vertical="center" shrinkToFit="1"/>
    </xf>
    <xf numFmtId="198" fontId="68" fillId="2" borderId="4" xfId="166" applyNumberFormat="1" applyFont="1" applyFill="1" applyBorder="1" applyAlignment="1">
      <alignment horizontal="right" vertical="center" shrinkToFit="1"/>
    </xf>
    <xf numFmtId="202" fontId="26" fillId="0" borderId="38" xfId="161" applyNumberFormat="1" applyFont="1" applyBorder="1" applyAlignment="1" applyProtection="1">
      <alignment horizontal="right" shrinkToFit="1"/>
      <protection hidden="1"/>
    </xf>
    <xf numFmtId="203" fontId="26" fillId="0" borderId="39" xfId="161" applyNumberFormat="1" applyFont="1" applyBorder="1" applyAlignment="1" applyProtection="1">
      <alignment horizontal="right" shrinkToFit="1"/>
      <protection hidden="1"/>
    </xf>
    <xf numFmtId="0" fontId="73" fillId="0" borderId="39" xfId="166" applyFont="1" applyBorder="1" applyAlignment="1" applyProtection="1">
      <alignment horizontal="right" vertical="center" wrapText="1" shrinkToFit="1"/>
      <protection hidden="1"/>
    </xf>
    <xf numFmtId="189" fontId="26" fillId="0" borderId="40" xfId="166" applyNumberFormat="1" applyFont="1" applyBorder="1" applyAlignment="1" applyProtection="1">
      <alignment horizontal="right" vertical="center" wrapText="1" shrinkToFit="1"/>
      <protection hidden="1"/>
    </xf>
    <xf numFmtId="166" fontId="70" fillId="3" borderId="45" xfId="161" applyNumberFormat="1" applyFont="1" applyFill="1" applyBorder="1" applyAlignment="1" applyProtection="1">
      <alignment horizontal="right" vertical="center" shrinkToFit="1"/>
      <protection hidden="1"/>
    </xf>
    <xf numFmtId="166" fontId="69" fillId="0" borderId="23" xfId="161" applyNumberFormat="1" applyFont="1" applyBorder="1" applyAlignment="1" applyProtection="1">
      <alignment horizontal="right" vertical="center" shrinkToFit="1"/>
      <protection hidden="1"/>
    </xf>
    <xf numFmtId="166" fontId="70" fillId="3" borderId="104" xfId="161" applyNumberFormat="1" applyFont="1" applyFill="1" applyBorder="1" applyAlignment="1" applyProtection="1">
      <alignment horizontal="right" vertical="center" shrinkToFit="1"/>
      <protection hidden="1"/>
    </xf>
    <xf numFmtId="196" fontId="22" fillId="0" borderId="101" xfId="166" applyNumberFormat="1" applyFont="1" applyBorder="1" applyAlignment="1">
      <alignment horizontal="center" vertical="center" shrinkToFit="1"/>
    </xf>
    <xf numFmtId="0" fontId="53" fillId="0" borderId="101" xfId="166" applyFont="1" applyBorder="1" applyAlignment="1">
      <alignment horizontal="center" vertical="center" shrinkToFit="1"/>
    </xf>
    <xf numFmtId="197" fontId="22" fillId="19" borderId="102" xfId="166" applyNumberFormat="1" applyFont="1" applyFill="1" applyBorder="1" applyAlignment="1" applyProtection="1">
      <alignment horizontal="center" vertical="center" shrinkToFit="1"/>
      <protection locked="0"/>
    </xf>
    <xf numFmtId="195" fontId="22" fillId="0" borderId="101" xfId="166" applyNumberFormat="1" applyFont="1" applyBorder="1" applyAlignment="1">
      <alignment horizontal="center" vertical="center" shrinkToFit="1"/>
    </xf>
    <xf numFmtId="200" fontId="22" fillId="0" borderId="102" xfId="166" applyNumberFormat="1" applyFont="1" applyBorder="1" applyAlignment="1">
      <alignment horizontal="center" vertical="center" shrinkToFit="1"/>
    </xf>
    <xf numFmtId="201" fontId="22" fillId="0" borderId="103" xfId="166" applyNumberFormat="1" applyFont="1" applyBorder="1" applyAlignment="1">
      <alignment horizontal="center" vertical="center" shrinkToFit="1"/>
    </xf>
    <xf numFmtId="196" fontId="22" fillId="7" borderId="0" xfId="161" applyNumberFormat="1" applyFont="1" applyFill="1" applyAlignment="1" applyProtection="1">
      <alignment horizontal="center" vertical="center" shrinkToFit="1"/>
      <protection hidden="1"/>
    </xf>
    <xf numFmtId="195" fontId="21" fillId="0" borderId="0" xfId="166" applyNumberFormat="1" applyFont="1" applyAlignment="1">
      <alignment horizontal="center" vertical="center" shrinkToFit="1"/>
    </xf>
    <xf numFmtId="224" fontId="21" fillId="0" borderId="0" xfId="166" applyNumberFormat="1" applyFont="1" applyAlignment="1">
      <alignment horizontal="center" vertical="center" shrinkToFit="1"/>
    </xf>
    <xf numFmtId="0" fontId="24" fillId="0" borderId="23" xfId="161" applyFont="1" applyBorder="1" applyAlignment="1" applyProtection="1">
      <alignment horizontal="right" vertical="center"/>
      <protection hidden="1"/>
    </xf>
    <xf numFmtId="9" fontId="21" fillId="0" borderId="0" xfId="163" applyFont="1" applyFill="1" applyAlignment="1" applyProtection="1">
      <alignment horizontal="center" vertical="center" shrinkToFit="1"/>
    </xf>
    <xf numFmtId="9" fontId="21" fillId="0" borderId="0" xfId="163" applyFont="1" applyBorder="1" applyAlignment="1" applyProtection="1">
      <alignment horizontal="center" vertical="center" shrinkToFit="1"/>
      <protection hidden="1"/>
    </xf>
    <xf numFmtId="204" fontId="21" fillId="0" borderId="0" xfId="161" applyNumberFormat="1" applyFont="1" applyAlignment="1" applyProtection="1">
      <alignment horizontal="center" vertical="center" shrinkToFit="1"/>
      <protection hidden="1"/>
    </xf>
    <xf numFmtId="205" fontId="24" fillId="0" borderId="0" xfId="161" applyNumberFormat="1" applyFont="1" applyAlignment="1">
      <alignment horizontal="center" vertical="center" shrinkToFit="1"/>
    </xf>
    <xf numFmtId="205" fontId="24" fillId="2" borderId="0" xfId="161" applyNumberFormat="1" applyFont="1" applyFill="1" applyAlignment="1" applyProtection="1">
      <alignment horizontal="center" vertical="center" shrinkToFit="1"/>
      <protection locked="0"/>
    </xf>
    <xf numFmtId="204" fontId="24" fillId="0" borderId="0" xfId="161" applyNumberFormat="1" applyFont="1" applyAlignment="1" applyProtection="1">
      <alignment horizontal="center" vertical="center" shrinkToFit="1"/>
      <protection hidden="1"/>
    </xf>
    <xf numFmtId="9" fontId="26" fillId="0" borderId="17" xfId="163" applyFont="1" applyFill="1" applyBorder="1" applyAlignment="1" applyProtection="1">
      <alignment horizontal="center" vertical="center" shrinkToFit="1"/>
    </xf>
    <xf numFmtId="9" fontId="26" fillId="2" borderId="0" xfId="163" applyFont="1" applyFill="1" applyBorder="1" applyAlignment="1" applyProtection="1">
      <alignment horizontal="center" vertical="center" shrinkToFit="1"/>
      <protection locked="0"/>
    </xf>
    <xf numFmtId="9" fontId="21" fillId="0" borderId="0" xfId="163" applyFont="1" applyAlignment="1" applyProtection="1">
      <alignment horizontal="center" vertical="center" shrinkToFit="1"/>
      <protection hidden="1"/>
    </xf>
    <xf numFmtId="198" fontId="26" fillId="0" borderId="17" xfId="166" applyNumberFormat="1" applyFont="1" applyBorder="1" applyAlignment="1">
      <alignment horizontal="center" vertical="center" shrinkToFit="1"/>
    </xf>
    <xf numFmtId="198" fontId="26" fillId="2" borderId="0" xfId="166" applyNumberFormat="1" applyFont="1" applyFill="1" applyAlignment="1" applyProtection="1">
      <alignment horizontal="center" vertical="center" shrinkToFit="1"/>
      <protection locked="0"/>
    </xf>
    <xf numFmtId="0" fontId="26" fillId="19" borderId="2" xfId="166" applyFont="1" applyFill="1" applyBorder="1" applyAlignment="1" applyProtection="1">
      <alignment horizontal="right" vertical="top" wrapText="1"/>
      <protection locked="0" hidden="1"/>
    </xf>
    <xf numFmtId="0" fontId="27" fillId="19" borderId="2" xfId="166" applyFont="1" applyFill="1" applyBorder="1" applyAlignment="1" applyProtection="1">
      <alignment horizontal="right" vertical="top" wrapText="1"/>
      <protection locked="0" hidden="1"/>
    </xf>
    <xf numFmtId="0" fontId="26" fillId="19" borderId="2" xfId="161" applyFont="1" applyFill="1" applyBorder="1" applyAlignment="1" applyProtection="1">
      <alignment horizontal="right" vertical="top" wrapText="1"/>
      <protection locked="0" hidden="1"/>
    </xf>
    <xf numFmtId="0" fontId="21" fillId="0" borderId="23" xfId="166" applyFont="1" applyBorder="1" applyAlignment="1" applyProtection="1">
      <alignment horizontal="right" vertical="top" wrapText="1"/>
      <protection hidden="1"/>
    </xf>
    <xf numFmtId="0" fontId="29" fillId="19" borderId="2" xfId="166" applyFont="1" applyFill="1" applyBorder="1" applyAlignment="1" applyProtection="1">
      <alignment horizontal="center" vertical="top" wrapText="1"/>
      <protection locked="0" hidden="1"/>
    </xf>
    <xf numFmtId="0" fontId="52" fillId="0" borderId="23" xfId="166" applyFont="1" applyBorder="1" applyAlignment="1" applyProtection="1">
      <alignment horizontal="right" vertical="center" shrinkToFit="1"/>
      <protection hidden="1"/>
    </xf>
    <xf numFmtId="186" fontId="72" fillId="19" borderId="106" xfId="166" applyNumberFormat="1" applyFont="1" applyFill="1" applyBorder="1" applyAlignment="1" applyProtection="1">
      <alignment horizontal="right" vertical="center" shrinkToFit="1"/>
      <protection hidden="1"/>
    </xf>
    <xf numFmtId="186" fontId="72" fillId="19" borderId="3" xfId="166" applyNumberFormat="1" applyFont="1" applyFill="1" applyBorder="1" applyAlignment="1" applyProtection="1">
      <alignment horizontal="right" vertical="center" shrinkToFit="1"/>
      <protection hidden="1"/>
    </xf>
    <xf numFmtId="186" fontId="72" fillId="0" borderId="114" xfId="166" applyNumberFormat="1" applyFont="1" applyBorder="1" applyAlignment="1" applyProtection="1">
      <alignment horizontal="right" vertical="center" shrinkToFit="1"/>
      <protection hidden="1"/>
    </xf>
    <xf numFmtId="186" fontId="72" fillId="19" borderId="45" xfId="166" applyNumberFormat="1" applyFont="1" applyFill="1" applyBorder="1" applyAlignment="1" applyProtection="1">
      <alignment horizontal="right" vertical="center" shrinkToFit="1"/>
      <protection hidden="1"/>
    </xf>
    <xf numFmtId="186" fontId="72" fillId="19" borderId="106" xfId="166" applyNumberFormat="1" applyFont="1" applyFill="1" applyBorder="1" applyAlignment="1" applyProtection="1">
      <alignment horizontal="center" vertical="center" shrinkToFit="1"/>
      <protection locked="0" hidden="1"/>
    </xf>
    <xf numFmtId="186" fontId="72" fillId="19" borderId="3" xfId="166" applyNumberFormat="1" applyFont="1" applyFill="1" applyBorder="1" applyAlignment="1" applyProtection="1">
      <alignment horizontal="center" vertical="center" shrinkToFit="1"/>
      <protection locked="0" hidden="1"/>
    </xf>
    <xf numFmtId="186" fontId="72" fillId="19" borderId="114" xfId="166" applyNumberFormat="1" applyFont="1" applyFill="1" applyBorder="1" applyAlignment="1" applyProtection="1">
      <alignment horizontal="center" vertical="center" shrinkToFit="1"/>
      <protection locked="0" hidden="1"/>
    </xf>
    <xf numFmtId="0" fontId="28" fillId="0" borderId="23" xfId="166" applyFont="1" applyBorder="1" applyAlignment="1" applyProtection="1">
      <alignment horizontal="right" vertical="center" wrapText="1"/>
      <protection hidden="1"/>
    </xf>
    <xf numFmtId="0" fontId="49" fillId="0" borderId="0" xfId="166" applyFont="1" applyAlignment="1" applyProtection="1">
      <alignment horizontal="right" vertical="center" wrapText="1"/>
      <protection hidden="1"/>
    </xf>
    <xf numFmtId="0" fontId="49" fillId="0" borderId="39" xfId="166" applyFont="1" applyBorder="1" applyAlignment="1" applyProtection="1">
      <alignment horizontal="right" vertical="center" wrapText="1"/>
      <protection hidden="1"/>
    </xf>
    <xf numFmtId="0" fontId="49" fillId="0" borderId="39" xfId="161" applyFont="1" applyBorder="1" applyAlignment="1" applyProtection="1">
      <alignment horizontal="right" vertical="center" wrapText="1"/>
      <protection hidden="1"/>
    </xf>
    <xf numFmtId="0" fontId="49" fillId="0" borderId="0" xfId="166" applyFont="1" applyAlignment="1" applyProtection="1">
      <alignment horizontal="center" vertical="center" wrapText="1"/>
      <protection hidden="1"/>
    </xf>
    <xf numFmtId="0" fontId="49" fillId="0" borderId="17" xfId="166" applyFont="1" applyBorder="1" applyAlignment="1" applyProtection="1">
      <alignment horizontal="center" vertical="center" wrapText="1"/>
      <protection hidden="1"/>
    </xf>
    <xf numFmtId="0" fontId="74" fillId="0" borderId="0" xfId="166" applyFont="1" applyAlignment="1" applyProtection="1">
      <alignment horizontal="center" vertical="center" wrapText="1"/>
      <protection hidden="1"/>
    </xf>
    <xf numFmtId="43" fontId="21" fillId="0" borderId="0" xfId="165" applyFont="1" applyFill="1" applyAlignment="1" applyProtection="1">
      <alignment horizontal="center" vertical="center" shrinkToFit="1"/>
    </xf>
    <xf numFmtId="0" fontId="96" fillId="0" borderId="0" xfId="161" applyFont="1" applyAlignment="1" applyProtection="1">
      <alignment horizontal="left" vertical="center"/>
      <protection hidden="1"/>
    </xf>
    <xf numFmtId="10" fontId="21" fillId="0" borderId="0" xfId="163" applyNumberFormat="1" applyFont="1" applyAlignment="1" applyProtection="1">
      <alignment horizontal="center" vertical="center" shrinkToFit="1"/>
      <protection hidden="1"/>
    </xf>
    <xf numFmtId="10" fontId="21" fillId="0" borderId="6" xfId="163" applyNumberFormat="1" applyFont="1" applyBorder="1" applyAlignment="1" applyProtection="1">
      <alignment horizontal="center" vertical="center" shrinkToFit="1"/>
      <protection hidden="1"/>
    </xf>
    <xf numFmtId="0" fontId="81" fillId="0" borderId="0" xfId="161" applyFont="1" applyAlignment="1" applyProtection="1">
      <alignment horizontal="center" vertical="center" shrinkToFit="1"/>
      <protection hidden="1"/>
    </xf>
    <xf numFmtId="0" fontId="22" fillId="0" borderId="6" xfId="161" applyFont="1" applyBorder="1" applyAlignment="1" applyProtection="1">
      <alignment horizontal="right" vertical="center" shrinkToFit="1"/>
      <protection hidden="1"/>
    </xf>
    <xf numFmtId="0" fontId="22" fillId="0" borderId="6" xfId="161" applyFont="1" applyBorder="1" applyAlignment="1" applyProtection="1">
      <alignment horizontal="center" vertical="center" wrapText="1" shrinkToFit="1"/>
      <protection hidden="1"/>
    </xf>
    <xf numFmtId="0" fontId="81" fillId="0" borderId="6" xfId="161" applyFont="1" applyBorder="1" applyAlignment="1" applyProtection="1">
      <alignment horizontal="center" vertical="center" wrapText="1" shrinkToFit="1"/>
      <protection hidden="1"/>
    </xf>
    <xf numFmtId="10" fontId="81" fillId="2" borderId="1" xfId="163" applyNumberFormat="1" applyFont="1" applyFill="1" applyBorder="1" applyAlignment="1" applyProtection="1">
      <alignment horizontal="center" vertical="center" wrapText="1" shrinkToFit="1"/>
      <protection hidden="1"/>
    </xf>
    <xf numFmtId="10" fontId="81" fillId="2" borderId="0" xfId="163" applyNumberFormat="1" applyFont="1" applyFill="1" applyAlignment="1" applyProtection="1">
      <alignment horizontal="center" vertical="center" wrapText="1" shrinkToFit="1"/>
      <protection hidden="1"/>
    </xf>
    <xf numFmtId="10" fontId="81" fillId="2" borderId="0" xfId="163" applyNumberFormat="1" applyFont="1" applyFill="1" applyBorder="1" applyAlignment="1" applyProtection="1">
      <alignment horizontal="center" vertical="center" wrapText="1" shrinkToFit="1"/>
      <protection hidden="1"/>
    </xf>
    <xf numFmtId="0" fontId="21" fillId="0" borderId="6" xfId="161" applyFont="1" applyBorder="1" applyAlignment="1" applyProtection="1">
      <alignment horizontal="right" vertical="center" shrinkToFit="1"/>
      <protection hidden="1"/>
    </xf>
    <xf numFmtId="10" fontId="81" fillId="2" borderId="6" xfId="163" applyNumberFormat="1" applyFont="1" applyFill="1" applyBorder="1" applyAlignment="1" applyProtection="1">
      <alignment horizontal="center" vertical="center" wrapText="1" shrinkToFit="1"/>
      <protection hidden="1"/>
    </xf>
    <xf numFmtId="10" fontId="21" fillId="0" borderId="0" xfId="161" applyNumberFormat="1" applyFont="1" applyAlignment="1" applyProtection="1">
      <alignment horizontal="center" vertical="center" wrapText="1" shrinkToFit="1"/>
      <protection hidden="1"/>
    </xf>
    <xf numFmtId="10" fontId="22" fillId="0" borderId="0" xfId="161" applyNumberFormat="1" applyFont="1" applyAlignment="1" applyProtection="1">
      <alignment horizontal="center" vertical="center" wrapText="1" shrinkToFit="1"/>
      <protection hidden="1"/>
    </xf>
    <xf numFmtId="3" fontId="25" fillId="0" borderId="0" xfId="161" applyNumberFormat="1" applyFont="1" applyAlignment="1" applyProtection="1">
      <alignment horizontal="center" vertical="center" wrapText="1" shrinkToFit="1"/>
      <protection hidden="1"/>
    </xf>
    <xf numFmtId="3" fontId="32" fillId="0" borderId="0" xfId="161" applyNumberFormat="1" applyFont="1" applyAlignment="1" applyProtection="1">
      <alignment horizontal="center" vertical="center" wrapText="1" shrinkToFit="1"/>
      <protection hidden="1"/>
    </xf>
    <xf numFmtId="2" fontId="21" fillId="0" borderId="0" xfId="161" applyNumberFormat="1" applyFont="1" applyAlignment="1" applyProtection="1">
      <alignment horizontal="center" vertical="center" wrapText="1" shrinkToFit="1"/>
      <protection hidden="1"/>
    </xf>
    <xf numFmtId="2" fontId="22" fillId="0" borderId="0" xfId="161" applyNumberFormat="1" applyFont="1" applyAlignment="1" applyProtection="1">
      <alignment horizontal="center" vertical="center" wrapText="1" shrinkToFit="1"/>
      <protection hidden="1"/>
    </xf>
    <xf numFmtId="225" fontId="24" fillId="0" borderId="0" xfId="161" applyNumberFormat="1" applyFont="1" applyAlignment="1">
      <alignment horizontal="center" vertical="center" shrinkToFit="1"/>
    </xf>
    <xf numFmtId="226" fontId="21" fillId="0" borderId="0" xfId="161" applyNumberFormat="1" applyFont="1" applyAlignment="1">
      <alignment horizontal="center" vertical="center" shrinkToFit="1"/>
    </xf>
    <xf numFmtId="226" fontId="21" fillId="2" borderId="0" xfId="161" applyNumberFormat="1" applyFont="1" applyFill="1" applyAlignment="1" applyProtection="1">
      <alignment horizontal="center" vertical="center" shrinkToFit="1"/>
      <protection locked="0"/>
    </xf>
    <xf numFmtId="227" fontId="21" fillId="0" borderId="0" xfId="161" applyNumberFormat="1" applyFont="1" applyAlignment="1">
      <alignment horizontal="center" vertical="center" shrinkToFit="1"/>
    </xf>
    <xf numFmtId="227" fontId="21" fillId="2" borderId="0" xfId="161" applyNumberFormat="1" applyFont="1" applyFill="1" applyAlignment="1" applyProtection="1">
      <alignment horizontal="center" vertical="center" shrinkToFit="1"/>
      <protection locked="0"/>
    </xf>
    <xf numFmtId="193" fontId="25" fillId="19" borderId="131" xfId="166" applyNumberFormat="1" applyFont="1" applyFill="1" applyBorder="1" applyAlignment="1" applyProtection="1">
      <alignment horizontal="right" vertical="center" shrinkToFit="1"/>
      <protection locked="0"/>
    </xf>
    <xf numFmtId="166" fontId="25" fillId="19" borderId="132" xfId="166" applyNumberFormat="1" applyFont="1" applyFill="1" applyBorder="1" applyAlignment="1" applyProtection="1">
      <alignment horizontal="right" vertical="center" shrinkToFit="1"/>
      <protection locked="0"/>
    </xf>
    <xf numFmtId="166" fontId="25" fillId="19" borderId="22" xfId="166" applyNumberFormat="1" applyFont="1" applyFill="1" applyBorder="1" applyAlignment="1" applyProtection="1">
      <alignment horizontal="right" vertical="center" shrinkToFit="1"/>
      <protection locked="0"/>
    </xf>
    <xf numFmtId="166" fontId="25" fillId="19" borderId="31" xfId="166" applyNumberFormat="1" applyFont="1" applyFill="1" applyBorder="1" applyAlignment="1" applyProtection="1">
      <alignment horizontal="right" vertical="center" shrinkToFit="1"/>
      <protection locked="0"/>
    </xf>
    <xf numFmtId="166" fontId="25" fillId="19" borderId="23" xfId="166" applyNumberFormat="1" applyFont="1" applyFill="1" applyBorder="1" applyAlignment="1" applyProtection="1">
      <alignment horizontal="right" vertical="center" shrinkToFit="1"/>
      <protection locked="0"/>
    </xf>
    <xf numFmtId="166" fontId="25" fillId="19" borderId="104" xfId="166" applyNumberFormat="1" applyFont="1" applyFill="1" applyBorder="1" applyAlignment="1" applyProtection="1">
      <alignment horizontal="right" vertical="center" shrinkToFit="1"/>
      <protection locked="0"/>
    </xf>
    <xf numFmtId="0" fontId="97" fillId="0" borderId="22" xfId="166" applyFont="1" applyBorder="1" applyAlignment="1">
      <alignment horizontal="right" vertical="center" shrinkToFit="1"/>
    </xf>
    <xf numFmtId="0" fontId="52" fillId="0" borderId="0" xfId="166" applyFont="1" applyAlignment="1">
      <alignment horizontal="left"/>
    </xf>
    <xf numFmtId="0" fontId="31" fillId="0" borderId="0" xfId="166" applyFont="1" applyAlignment="1" applyProtection="1">
      <alignment horizontal="center" vertical="center" wrapText="1"/>
      <protection hidden="1"/>
    </xf>
    <xf numFmtId="228" fontId="47" fillId="41" borderId="94" xfId="166" applyNumberFormat="1" applyFont="1" applyFill="1" applyBorder="1" applyAlignment="1" applyProtection="1">
      <alignment horizontal="right" vertical="center"/>
      <protection hidden="1"/>
    </xf>
    <xf numFmtId="228" fontId="34" fillId="41" borderId="57" xfId="166" applyNumberFormat="1" applyFont="1" applyFill="1" applyBorder="1" applyAlignment="1" applyProtection="1">
      <alignment horizontal="center" vertical="center" wrapText="1"/>
      <protection hidden="1"/>
    </xf>
    <xf numFmtId="228" fontId="25" fillId="41" borderId="57" xfId="166" applyNumberFormat="1" applyFont="1" applyFill="1" applyBorder="1" applyAlignment="1" applyProtection="1">
      <alignment horizontal="right" vertical="center" wrapText="1"/>
      <protection hidden="1"/>
    </xf>
    <xf numFmtId="228" fontId="39" fillId="41" borderId="57" xfId="166" applyNumberFormat="1" applyFont="1" applyFill="1" applyBorder="1" applyAlignment="1" applyProtection="1">
      <alignment horizontal="center" vertical="center" wrapText="1"/>
      <protection hidden="1"/>
    </xf>
    <xf numFmtId="228" fontId="64" fillId="0" borderId="23" xfId="166" applyNumberFormat="1" applyFont="1" applyBorder="1" applyAlignment="1" applyProtection="1">
      <alignment horizontal="right" vertical="center"/>
      <protection hidden="1"/>
    </xf>
    <xf numFmtId="228" fontId="64" fillId="0" borderId="0" xfId="166" applyNumberFormat="1" applyFont="1" applyAlignment="1" applyProtection="1">
      <alignment horizontal="center" vertical="center" wrapText="1"/>
      <protection hidden="1"/>
    </xf>
    <xf numFmtId="228" fontId="64" fillId="0" borderId="0" xfId="166" applyNumberFormat="1" applyFont="1" applyAlignment="1" applyProtection="1">
      <alignment horizontal="right" vertical="center" wrapText="1"/>
      <protection hidden="1"/>
    </xf>
    <xf numFmtId="228" fontId="64" fillId="0" borderId="0" xfId="166" applyNumberFormat="1" applyFont="1" applyAlignment="1" applyProtection="1">
      <alignment horizontal="right" vertical="center"/>
      <protection hidden="1"/>
    </xf>
    <xf numFmtId="228" fontId="64" fillId="0" borderId="4" xfId="166" applyNumberFormat="1" applyFont="1" applyBorder="1" applyAlignment="1" applyProtection="1">
      <alignment horizontal="right" vertical="center"/>
      <protection hidden="1"/>
    </xf>
    <xf numFmtId="228" fontId="47" fillId="3" borderId="78" xfId="166" applyNumberFormat="1" applyFont="1" applyFill="1" applyBorder="1" applyAlignment="1" applyProtection="1">
      <alignment horizontal="right" vertical="center"/>
      <protection hidden="1"/>
    </xf>
    <xf numFmtId="228" fontId="34" fillId="3" borderId="86" xfId="166" applyNumberFormat="1" applyFont="1" applyFill="1" applyBorder="1" applyAlignment="1" applyProtection="1">
      <alignment horizontal="center" vertical="center" wrapText="1"/>
      <protection hidden="1"/>
    </xf>
    <xf numFmtId="228" fontId="25" fillId="3" borderId="86" xfId="166" applyNumberFormat="1" applyFont="1" applyFill="1" applyBorder="1" applyAlignment="1" applyProtection="1">
      <alignment horizontal="right" vertical="center" wrapText="1"/>
      <protection hidden="1"/>
    </xf>
    <xf numFmtId="228" fontId="39" fillId="3" borderId="86" xfId="166" applyNumberFormat="1" applyFont="1" applyFill="1" applyBorder="1" applyAlignment="1" applyProtection="1">
      <alignment horizontal="center" vertical="center" wrapText="1"/>
      <protection hidden="1"/>
    </xf>
    <xf numFmtId="228" fontId="32" fillId="3" borderId="87" xfId="166" applyNumberFormat="1" applyFont="1" applyFill="1" applyBorder="1" applyAlignment="1" applyProtection="1">
      <alignment horizontal="right" vertical="center"/>
      <protection hidden="1"/>
    </xf>
    <xf numFmtId="228" fontId="32" fillId="3" borderId="86" xfId="166" applyNumberFormat="1" applyFont="1" applyFill="1" applyBorder="1" applyAlignment="1" applyProtection="1">
      <alignment horizontal="right" vertical="center"/>
      <protection hidden="1"/>
    </xf>
    <xf numFmtId="228" fontId="32" fillId="3" borderId="97" xfId="166" applyNumberFormat="1" applyFont="1" applyFill="1" applyBorder="1" applyAlignment="1" applyProtection="1">
      <alignment horizontal="right" vertical="center"/>
      <protection hidden="1"/>
    </xf>
    <xf numFmtId="228" fontId="32" fillId="3" borderId="88" xfId="166" applyNumberFormat="1" applyFont="1" applyFill="1" applyBorder="1" applyAlignment="1" applyProtection="1">
      <alignment horizontal="right" vertical="center"/>
      <protection hidden="1"/>
    </xf>
    <xf numFmtId="228" fontId="27" fillId="7" borderId="90" xfId="166" applyNumberFormat="1" applyFont="1" applyFill="1" applyBorder="1" applyAlignment="1" applyProtection="1">
      <alignment horizontal="right" vertical="center"/>
      <protection hidden="1"/>
    </xf>
    <xf numFmtId="228" fontId="23" fillId="7" borderId="91" xfId="166" applyNumberFormat="1" applyFont="1" applyFill="1" applyBorder="1" applyAlignment="1" applyProtection="1">
      <alignment horizontal="center" vertical="center" wrapText="1"/>
      <protection hidden="1"/>
    </xf>
    <xf numFmtId="228" fontId="21" fillId="7" borderId="91" xfId="166" applyNumberFormat="1" applyFont="1" applyFill="1" applyBorder="1" applyAlignment="1" applyProtection="1">
      <alignment horizontal="right" vertical="center" wrapText="1"/>
      <protection hidden="1"/>
    </xf>
    <xf numFmtId="228" fontId="30" fillId="7" borderId="91" xfId="166" applyNumberFormat="1" applyFont="1" applyFill="1" applyBorder="1" applyAlignment="1" applyProtection="1">
      <alignment horizontal="center" vertical="center" wrapText="1"/>
      <protection hidden="1"/>
    </xf>
    <xf numFmtId="228" fontId="22" fillId="7" borderId="91" xfId="166" applyNumberFormat="1" applyFont="1" applyFill="1" applyBorder="1" applyAlignment="1" applyProtection="1">
      <alignment horizontal="right" vertical="center"/>
      <protection hidden="1"/>
    </xf>
    <xf numFmtId="228" fontId="22" fillId="7" borderId="92" xfId="166" applyNumberFormat="1" applyFont="1" applyFill="1" applyBorder="1" applyAlignment="1" applyProtection="1">
      <alignment horizontal="right" vertical="center"/>
      <protection hidden="1"/>
    </xf>
    <xf numFmtId="228" fontId="22" fillId="7" borderId="93" xfId="166" applyNumberFormat="1" applyFont="1" applyFill="1" applyBorder="1" applyAlignment="1" applyProtection="1">
      <alignment horizontal="right" vertical="center"/>
      <protection hidden="1"/>
    </xf>
    <xf numFmtId="228" fontId="33" fillId="0" borderId="134" xfId="166" applyNumberFormat="1" applyFont="1" applyBorder="1" applyAlignment="1" applyProtection="1">
      <alignment horizontal="right" vertical="center"/>
      <protection hidden="1"/>
    </xf>
    <xf numFmtId="228" fontId="33" fillId="0" borderId="133" xfId="166" applyNumberFormat="1" applyFont="1" applyBorder="1" applyAlignment="1" applyProtection="1">
      <alignment horizontal="right" vertical="center"/>
      <protection hidden="1"/>
    </xf>
    <xf numFmtId="229" fontId="33" fillId="0" borderId="133" xfId="166" applyNumberFormat="1" applyFont="1" applyBorder="1" applyAlignment="1" applyProtection="1">
      <alignment horizontal="right" vertical="center"/>
      <protection hidden="1"/>
    </xf>
    <xf numFmtId="229" fontId="26" fillId="19" borderId="2" xfId="166" applyNumberFormat="1" applyFont="1" applyFill="1" applyBorder="1" applyAlignment="1" applyProtection="1">
      <alignment horizontal="right" vertical="center"/>
      <protection locked="0" hidden="1"/>
    </xf>
    <xf numFmtId="229" fontId="31" fillId="19" borderId="2" xfId="166" applyNumberFormat="1" applyFont="1" applyFill="1" applyBorder="1" applyAlignment="1" applyProtection="1">
      <alignment horizontal="right" vertical="center"/>
      <protection locked="0" hidden="1"/>
    </xf>
    <xf numFmtId="229" fontId="26" fillId="19" borderId="9" xfId="166" applyNumberFormat="1" applyFont="1" applyFill="1" applyBorder="1" applyAlignment="1" applyProtection="1">
      <alignment horizontal="right" vertical="center"/>
      <protection locked="0" hidden="1"/>
    </xf>
    <xf numFmtId="228" fontId="32" fillId="41" borderId="135" xfId="166" applyNumberFormat="1" applyFont="1" applyFill="1" applyBorder="1" applyAlignment="1" applyProtection="1">
      <alignment horizontal="right" vertical="center"/>
      <protection hidden="1"/>
    </xf>
    <xf numFmtId="228" fontId="32" fillId="41" borderId="70" xfId="166" applyNumberFormat="1" applyFont="1" applyFill="1" applyBorder="1" applyAlignment="1" applyProtection="1">
      <alignment horizontal="right" vertical="center"/>
      <protection hidden="1"/>
    </xf>
    <xf numFmtId="228" fontId="32" fillId="41" borderId="72" xfId="166" applyNumberFormat="1" applyFont="1" applyFill="1" applyBorder="1" applyAlignment="1" applyProtection="1">
      <alignment horizontal="right" vertical="center"/>
      <protection hidden="1"/>
    </xf>
    <xf numFmtId="228" fontId="32" fillId="41" borderId="136" xfId="166" applyNumberFormat="1" applyFont="1" applyFill="1" applyBorder="1" applyAlignment="1" applyProtection="1">
      <alignment horizontal="right" vertical="center"/>
      <protection hidden="1"/>
    </xf>
    <xf numFmtId="0" fontId="98" fillId="0" borderId="23" xfId="166" applyFont="1" applyBorder="1" applyAlignment="1" applyProtection="1">
      <alignment horizontal="left" vertical="center"/>
      <protection hidden="1"/>
    </xf>
    <xf numFmtId="0" fontId="52" fillId="6" borderId="14" xfId="166" applyFont="1" applyFill="1" applyBorder="1" applyAlignment="1">
      <alignment horizontal="center" wrapText="1"/>
    </xf>
    <xf numFmtId="9" fontId="21" fillId="0" borderId="0" xfId="157" applyFont="1" applyFill="1" applyBorder="1" applyAlignment="1">
      <alignment horizontal="center" shrinkToFit="1"/>
    </xf>
    <xf numFmtId="9" fontId="21" fillId="0" borderId="41" xfId="157" applyFont="1" applyFill="1" applyBorder="1" applyAlignment="1">
      <alignment horizontal="center" shrinkToFit="1"/>
    </xf>
    <xf numFmtId="9" fontId="21" fillId="0" borderId="14" xfId="157" applyFont="1" applyFill="1" applyBorder="1" applyAlignment="1">
      <alignment horizontal="center" shrinkToFit="1"/>
    </xf>
    <xf numFmtId="9" fontId="21" fillId="0" borderId="28" xfId="157" applyFont="1" applyFill="1" applyBorder="1" applyAlignment="1">
      <alignment horizontal="center" shrinkToFit="1"/>
    </xf>
    <xf numFmtId="9" fontId="21" fillId="0" borderId="20" xfId="157" applyFont="1" applyFill="1" applyBorder="1" applyAlignment="1">
      <alignment horizontal="center" shrinkToFit="1"/>
    </xf>
    <xf numFmtId="9" fontId="21" fillId="0" borderId="6" xfId="157" applyFont="1" applyFill="1" applyBorder="1" applyAlignment="1">
      <alignment horizontal="center" shrinkToFit="1"/>
    </xf>
    <xf numFmtId="9" fontId="21" fillId="0" borderId="117" xfId="157" applyFont="1" applyFill="1" applyBorder="1" applyAlignment="1">
      <alignment horizontal="center" shrinkToFit="1"/>
    </xf>
    <xf numFmtId="9" fontId="21" fillId="0" borderId="37" xfId="157" applyFont="1" applyFill="1" applyBorder="1" applyAlignment="1">
      <alignment horizontal="center" shrinkToFit="1"/>
    </xf>
    <xf numFmtId="9" fontId="21" fillId="0" borderId="1" xfId="157" applyFont="1" applyFill="1" applyBorder="1" applyAlignment="1">
      <alignment horizontal="center" shrinkToFit="1"/>
    </xf>
    <xf numFmtId="9" fontId="21" fillId="0" borderId="118" xfId="157" applyFont="1" applyFill="1" applyBorder="1" applyAlignment="1">
      <alignment horizontal="center" shrinkToFit="1"/>
    </xf>
    <xf numFmtId="166" fontId="22" fillId="0" borderId="0" xfId="166" applyNumberFormat="1" applyFont="1" applyAlignment="1" applyProtection="1">
      <alignment vertical="center" shrinkToFit="1"/>
      <protection hidden="1"/>
    </xf>
    <xf numFmtId="165" fontId="21" fillId="19" borderId="131" xfId="157" applyNumberFormat="1" applyFont="1" applyFill="1" applyBorder="1" applyAlignment="1" applyProtection="1">
      <alignment horizontal="center" vertical="center" shrinkToFit="1"/>
      <protection locked="0"/>
    </xf>
    <xf numFmtId="0" fontId="35" fillId="0" borderId="0" xfId="166" applyFont="1" applyAlignment="1" applyProtection="1">
      <alignment horizontal="center" vertical="center" wrapText="1"/>
      <protection hidden="1"/>
    </xf>
    <xf numFmtId="0" fontId="35" fillId="0" borderId="0" xfId="166" applyFont="1" applyAlignment="1" applyProtection="1">
      <alignment horizontal="left" vertical="center"/>
      <protection hidden="1"/>
    </xf>
    <xf numFmtId="204" fontId="34" fillId="0" borderId="0" xfId="166" applyNumberFormat="1" applyFont="1" applyAlignment="1" applyProtection="1">
      <alignment horizontal="center" vertical="center" wrapText="1"/>
      <protection hidden="1"/>
    </xf>
    <xf numFmtId="165" fontId="21" fillId="19" borderId="21" xfId="157" applyNumberFormat="1" applyFont="1" applyFill="1" applyBorder="1" applyAlignment="1" applyProtection="1">
      <alignment horizontal="center" vertical="center" shrinkToFit="1"/>
      <protection locked="0"/>
    </xf>
    <xf numFmtId="193" fontId="25" fillId="0" borderId="14" xfId="166" applyNumberFormat="1" applyFont="1" applyBorder="1" applyAlignment="1" applyProtection="1">
      <alignment horizontal="right" vertical="center" shrinkToFit="1"/>
      <protection hidden="1"/>
    </xf>
    <xf numFmtId="165" fontId="21" fillId="19" borderId="5" xfId="157" applyNumberFormat="1" applyFont="1" applyFill="1" applyBorder="1" applyAlignment="1" applyProtection="1">
      <alignment horizontal="center" vertical="center" shrinkToFit="1"/>
      <protection locked="0"/>
    </xf>
    <xf numFmtId="193" fontId="25" fillId="0" borderId="20" xfId="166" applyNumberFormat="1" applyFont="1" applyBorder="1" applyAlignment="1" applyProtection="1">
      <alignment horizontal="right" vertical="center" shrinkToFit="1"/>
      <protection hidden="1"/>
    </xf>
    <xf numFmtId="165" fontId="21" fillId="19" borderId="2" xfId="157" applyNumberFormat="1" applyFont="1" applyFill="1" applyBorder="1" applyAlignment="1" applyProtection="1">
      <alignment horizontal="center" vertical="center" shrinkToFit="1"/>
      <protection locked="0"/>
    </xf>
    <xf numFmtId="193" fontId="25" fillId="0" borderId="6" xfId="166" applyNumberFormat="1" applyFont="1" applyBorder="1" applyAlignment="1" applyProtection="1">
      <alignment horizontal="right" vertical="center" shrinkToFit="1"/>
      <protection hidden="1"/>
    </xf>
    <xf numFmtId="193" fontId="25" fillId="0" borderId="1" xfId="166" applyNumberFormat="1" applyFont="1" applyBorder="1" applyAlignment="1" applyProtection="1">
      <alignment horizontal="right" vertical="center" shrinkToFit="1"/>
      <protection hidden="1"/>
    </xf>
    <xf numFmtId="193" fontId="25" fillId="0" borderId="132" xfId="166" applyNumberFormat="1" applyFont="1" applyBorder="1" applyAlignment="1" applyProtection="1">
      <alignment horizontal="right" vertical="center" shrinkToFit="1"/>
      <protection hidden="1"/>
    </xf>
    <xf numFmtId="0" fontId="35" fillId="0" borderId="0" xfId="166" applyFont="1" applyAlignment="1" applyProtection="1">
      <alignment horizontal="center" vertical="center" shrinkToFit="1"/>
      <protection hidden="1"/>
    </xf>
    <xf numFmtId="0" fontId="35" fillId="0" borderId="0" xfId="166" applyFont="1" applyAlignment="1" applyProtection="1">
      <alignment horizontal="left" vertical="center" shrinkToFit="1"/>
      <protection hidden="1"/>
    </xf>
    <xf numFmtId="193" fontId="25" fillId="0" borderId="23" xfId="166" applyNumberFormat="1" applyFont="1" applyBorder="1" applyAlignment="1" applyProtection="1">
      <alignment horizontal="right" vertical="center" shrinkToFit="1"/>
      <protection hidden="1"/>
    </xf>
    <xf numFmtId="193" fontId="25" fillId="0" borderId="31" xfId="166" applyNumberFormat="1" applyFont="1" applyBorder="1" applyAlignment="1" applyProtection="1">
      <alignment horizontal="right" vertical="center" shrinkToFit="1"/>
      <protection hidden="1"/>
    </xf>
    <xf numFmtId="9" fontId="21" fillId="0" borderId="0" xfId="157" applyFont="1" applyFill="1" applyAlignment="1">
      <alignment horizontal="center" shrinkToFit="1"/>
    </xf>
    <xf numFmtId="193" fontId="25" fillId="0" borderId="16" xfId="166" applyNumberFormat="1" applyFont="1" applyBorder="1" applyAlignment="1" applyProtection="1">
      <alignment horizontal="right" vertical="center" shrinkToFit="1"/>
      <protection hidden="1"/>
    </xf>
    <xf numFmtId="189" fontId="26" fillId="0" borderId="23" xfId="166" applyNumberFormat="1" applyFont="1" applyBorder="1" applyAlignment="1" applyProtection="1">
      <alignment horizontal="right" vertical="center"/>
      <protection hidden="1"/>
    </xf>
    <xf numFmtId="0" fontId="26" fillId="0" borderId="122" xfId="166" applyFont="1" applyBorder="1" applyAlignment="1" applyProtection="1">
      <alignment horizontal="right" vertical="center" shrinkToFit="1"/>
      <protection hidden="1"/>
    </xf>
    <xf numFmtId="189" fontId="26" fillId="0" borderId="14" xfId="166" applyNumberFormat="1" applyFont="1" applyBorder="1" applyAlignment="1" applyProtection="1">
      <alignment horizontal="right" vertical="center" wrapText="1"/>
      <protection hidden="1"/>
    </xf>
    <xf numFmtId="189" fontId="26" fillId="0" borderId="22" xfId="166" applyNumberFormat="1" applyFont="1" applyBorder="1" applyAlignment="1" applyProtection="1">
      <alignment horizontal="right" vertical="center"/>
      <protection hidden="1"/>
    </xf>
    <xf numFmtId="189" fontId="26" fillId="0" borderId="14" xfId="166" applyNumberFormat="1" applyFont="1" applyBorder="1" applyAlignment="1" applyProtection="1">
      <alignment horizontal="right" vertical="center" shrinkToFit="1"/>
      <protection hidden="1"/>
    </xf>
    <xf numFmtId="189" fontId="26" fillId="0" borderId="123" xfId="166" applyNumberFormat="1" applyFont="1" applyBorder="1" applyAlignment="1" applyProtection="1">
      <alignment horizontal="right" vertical="center" shrinkToFit="1"/>
      <protection hidden="1"/>
    </xf>
    <xf numFmtId="170" fontId="26" fillId="50" borderId="14" xfId="0" applyNumberFormat="1" applyFont="1" applyFill="1" applyBorder="1" applyAlignment="1" applyProtection="1">
      <alignment horizontal="center" wrapText="1"/>
      <protection hidden="1"/>
    </xf>
    <xf numFmtId="170" fontId="26" fillId="51" borderId="25" xfId="0" applyNumberFormat="1" applyFont="1" applyFill="1" applyBorder="1" applyAlignment="1" applyProtection="1">
      <alignment horizontal="center" wrapText="1"/>
      <protection hidden="1"/>
    </xf>
    <xf numFmtId="170" fontId="26" fillId="51" borderId="14" xfId="0" applyNumberFormat="1" applyFont="1" applyFill="1" applyBorder="1" applyAlignment="1" applyProtection="1">
      <alignment horizontal="center" wrapText="1"/>
      <protection hidden="1"/>
    </xf>
    <xf numFmtId="175" fontId="23" fillId="7" borderId="0" xfId="161" applyNumberFormat="1" applyFont="1" applyFill="1" applyAlignment="1" applyProtection="1">
      <alignment horizontal="right" vertical="center"/>
      <protection hidden="1"/>
    </xf>
    <xf numFmtId="165" fontId="99" fillId="0" borderId="0" xfId="163" applyNumberFormat="1" applyFont="1" applyFill="1" applyBorder="1" applyAlignment="1" applyProtection="1">
      <alignment horizontal="right" vertical="center" shrinkToFit="1"/>
      <protection hidden="1"/>
    </xf>
    <xf numFmtId="166" fontId="99" fillId="0" borderId="0" xfId="161" applyNumberFormat="1" applyFont="1" applyAlignment="1" applyProtection="1">
      <alignment horizontal="right" vertical="center" shrinkToFit="1"/>
      <protection hidden="1"/>
    </xf>
    <xf numFmtId="165" fontId="99" fillId="0" borderId="0" xfId="163" applyNumberFormat="1" applyFont="1" applyFill="1" applyBorder="1" applyAlignment="1" applyProtection="1">
      <alignment vertical="center" shrinkToFit="1"/>
      <protection hidden="1"/>
    </xf>
    <xf numFmtId="0" fontId="100" fillId="0" borderId="112" xfId="161" applyFont="1" applyBorder="1" applyAlignment="1" applyProtection="1">
      <alignment horizontal="center" vertical="center" wrapText="1"/>
      <protection hidden="1"/>
    </xf>
    <xf numFmtId="0" fontId="100" fillId="0" borderId="113" xfId="161" applyFont="1" applyBorder="1" applyAlignment="1" applyProtection="1">
      <alignment horizontal="center" vertical="center" wrapText="1"/>
      <protection hidden="1"/>
    </xf>
    <xf numFmtId="165" fontId="44" fillId="0" borderId="0" xfId="163" applyNumberFormat="1" applyFont="1" applyBorder="1" applyAlignment="1" applyProtection="1">
      <alignment horizontal="center" vertical="center" wrapText="1"/>
      <protection hidden="1"/>
    </xf>
    <xf numFmtId="9" fontId="25" fillId="0" borderId="0" xfId="163" applyFont="1" applyBorder="1" applyAlignment="1" applyProtection="1">
      <alignment horizontal="center" vertical="center" wrapText="1"/>
      <protection hidden="1"/>
    </xf>
    <xf numFmtId="176" fontId="25" fillId="7" borderId="0" xfId="161" applyNumberFormat="1" applyFont="1" applyFill="1" applyAlignment="1" applyProtection="1">
      <alignment horizontal="center" vertical="center"/>
      <protection hidden="1"/>
    </xf>
    <xf numFmtId="182" fontId="21" fillId="0" borderId="0" xfId="161" applyNumberFormat="1" applyFont="1" applyAlignment="1" applyProtection="1">
      <alignment horizontal="right" vertical="center" wrapText="1"/>
      <protection hidden="1"/>
    </xf>
    <xf numFmtId="165" fontId="25" fillId="7" borderId="0" xfId="161" applyNumberFormat="1" applyFont="1" applyFill="1" applyAlignment="1" applyProtection="1">
      <alignment horizontal="right" vertical="center" wrapText="1"/>
      <protection hidden="1"/>
    </xf>
    <xf numFmtId="9" fontId="31" fillId="20" borderId="0" xfId="163" applyFont="1" applyFill="1" applyBorder="1" applyAlignment="1" applyProtection="1">
      <alignment horizontal="center" vertical="center"/>
      <protection hidden="1"/>
    </xf>
    <xf numFmtId="168" fontId="25" fillId="0" borderId="0" xfId="161" applyNumberFormat="1" applyFont="1" applyAlignment="1" applyProtection="1">
      <alignment horizontal="right" vertical="center"/>
      <protection hidden="1"/>
    </xf>
    <xf numFmtId="0" fontId="21" fillId="0" borderId="0" xfId="161" applyFont="1" applyAlignment="1" applyProtection="1">
      <alignment horizontal="left" vertical="center" wrapText="1" indent="1"/>
      <protection hidden="1"/>
    </xf>
    <xf numFmtId="166" fontId="25" fillId="0" borderId="0" xfId="161" applyNumberFormat="1" applyFont="1" applyAlignment="1" applyProtection="1">
      <alignment vertical="center"/>
      <protection hidden="1"/>
    </xf>
    <xf numFmtId="169" fontId="40" fillId="0" borderId="0" xfId="161" applyNumberFormat="1" applyFont="1" applyAlignment="1" applyProtection="1">
      <alignment horizontal="right" vertical="center" shrinkToFit="1"/>
      <protection hidden="1"/>
    </xf>
    <xf numFmtId="230" fontId="25" fillId="7" borderId="0" xfId="163" applyNumberFormat="1" applyFont="1" applyFill="1" applyAlignment="1" applyProtection="1">
      <alignment horizontal="right" vertical="center"/>
      <protection hidden="1"/>
    </xf>
    <xf numFmtId="230" fontId="21" fillId="0" borderId="0" xfId="163" applyNumberFormat="1" applyFont="1" applyFill="1" applyAlignment="1" applyProtection="1">
      <alignment horizontal="right" vertical="center"/>
      <protection hidden="1"/>
    </xf>
    <xf numFmtId="166" fontId="22" fillId="6" borderId="0" xfId="161" applyNumberFormat="1" applyFont="1" applyFill="1" applyAlignment="1" applyProtection="1">
      <alignment vertical="center"/>
      <protection hidden="1"/>
    </xf>
    <xf numFmtId="165" fontId="22" fillId="7" borderId="0" xfId="163" applyNumberFormat="1" applyFont="1" applyFill="1" applyAlignment="1" applyProtection="1">
      <alignment vertical="center"/>
      <protection hidden="1"/>
    </xf>
    <xf numFmtId="170" fontId="26" fillId="0" borderId="0" xfId="161" applyNumberFormat="1" applyFont="1" applyAlignment="1" applyProtection="1">
      <alignment horizontal="right" vertical="center"/>
      <protection hidden="1"/>
    </xf>
    <xf numFmtId="185" fontId="25" fillId="0" borderId="0" xfId="161" applyNumberFormat="1" applyFont="1" applyAlignment="1" applyProtection="1">
      <alignment horizontal="right" vertical="center"/>
      <protection hidden="1"/>
    </xf>
    <xf numFmtId="166" fontId="25" fillId="0" borderId="0" xfId="161" applyNumberFormat="1" applyFont="1" applyAlignment="1" applyProtection="1">
      <alignment horizontal="right" vertical="center"/>
      <protection hidden="1"/>
    </xf>
    <xf numFmtId="182" fontId="21" fillId="0" borderId="0" xfId="161" applyNumberFormat="1" applyFont="1" applyAlignment="1" applyProtection="1">
      <alignment horizontal="center" vertical="center" wrapText="1"/>
      <protection hidden="1"/>
    </xf>
    <xf numFmtId="0" fontId="70" fillId="4" borderId="0" xfId="161" applyFont="1" applyFill="1" applyAlignment="1" applyProtection="1">
      <alignment horizontal="right" vertical="center"/>
      <protection hidden="1"/>
    </xf>
    <xf numFmtId="165" fontId="25" fillId="0" borderId="0" xfId="157" applyNumberFormat="1" applyFont="1" applyAlignment="1" applyProtection="1">
      <alignment horizontal="right" vertical="center" wrapText="1"/>
      <protection hidden="1"/>
    </xf>
    <xf numFmtId="185" fontId="22" fillId="6" borderId="0" xfId="161" applyNumberFormat="1" applyFont="1" applyFill="1" applyAlignment="1" applyProtection="1">
      <alignment vertical="center"/>
      <protection hidden="1"/>
    </xf>
    <xf numFmtId="0" fontId="73" fillId="0" borderId="0" xfId="161" applyFont="1" applyAlignment="1" applyProtection="1">
      <alignment horizontal="right" vertical="center"/>
      <protection hidden="1"/>
    </xf>
    <xf numFmtId="232" fontId="59" fillId="0" borderId="0" xfId="161" applyNumberFormat="1" applyFont="1" applyAlignment="1" applyProtection="1">
      <alignment horizontal="right" vertical="center" wrapText="1" shrinkToFit="1"/>
      <protection hidden="1"/>
    </xf>
    <xf numFmtId="9" fontId="31" fillId="21" borderId="0" xfId="163" applyFont="1" applyFill="1" applyAlignment="1" applyProtection="1">
      <alignment horizontal="center" vertical="center"/>
      <protection hidden="1"/>
    </xf>
    <xf numFmtId="9" fontId="31" fillId="12" borderId="0" xfId="163" applyFont="1" applyFill="1" applyAlignment="1" applyProtection="1">
      <alignment horizontal="center" vertical="center"/>
      <protection hidden="1"/>
    </xf>
    <xf numFmtId="185" fontId="73" fillId="0" borderId="0" xfId="161" applyNumberFormat="1" applyFont="1" applyAlignment="1" applyProtection="1">
      <alignment horizontal="right" vertical="center" wrapText="1"/>
      <protection hidden="1"/>
    </xf>
    <xf numFmtId="166" fontId="73" fillId="0" borderId="0" xfId="161" applyNumberFormat="1" applyFont="1" applyAlignment="1" applyProtection="1">
      <alignment horizontal="right" vertical="center" wrapText="1"/>
      <protection hidden="1"/>
    </xf>
    <xf numFmtId="165" fontId="26" fillId="0" borderId="0" xfId="163" applyNumberFormat="1" applyFont="1" applyAlignment="1" applyProtection="1">
      <alignment horizontal="center" vertical="center" wrapText="1"/>
      <protection hidden="1"/>
    </xf>
    <xf numFmtId="165" fontId="31" fillId="0" borderId="0" xfId="163" applyNumberFormat="1" applyFont="1" applyAlignment="1" applyProtection="1">
      <alignment horizontal="center" vertical="center" wrapText="1"/>
      <protection hidden="1"/>
    </xf>
    <xf numFmtId="214" fontId="24" fillId="0" borderId="0" xfId="0" applyNumberFormat="1" applyFont="1" applyAlignment="1">
      <alignment horizontal="center" vertical="center"/>
    </xf>
    <xf numFmtId="165" fontId="25" fillId="0" borderId="0" xfId="161" applyNumberFormat="1" applyFont="1" applyAlignment="1" applyProtection="1">
      <alignment horizontal="center" vertical="center" wrapText="1"/>
      <protection hidden="1"/>
    </xf>
    <xf numFmtId="0" fontId="55" fillId="0" borderId="0" xfId="161" applyFont="1" applyAlignment="1" applyProtection="1">
      <alignment horizontal="right" vertical="center"/>
      <protection hidden="1"/>
    </xf>
    <xf numFmtId="9" fontId="21" fillId="0" borderId="0" xfId="163" applyFont="1" applyFill="1" applyBorder="1" applyAlignment="1" applyProtection="1">
      <alignment horizontal="right" vertical="center"/>
      <protection hidden="1"/>
    </xf>
    <xf numFmtId="0" fontId="25" fillId="0" borderId="0" xfId="161" applyFont="1" applyAlignment="1" applyProtection="1">
      <alignment horizontal="left" vertical="center" indent="1"/>
      <protection hidden="1"/>
    </xf>
    <xf numFmtId="170" fontId="26" fillId="6" borderId="14" xfId="167" applyNumberFormat="1" applyFont="1" applyFill="1" applyBorder="1" applyAlignment="1" applyProtection="1">
      <alignment horizontal="right" vertical="center" wrapText="1"/>
      <protection hidden="1"/>
    </xf>
    <xf numFmtId="170" fontId="26" fillId="6" borderId="15" xfId="167" applyNumberFormat="1" applyFont="1" applyFill="1" applyBorder="1" applyAlignment="1" applyProtection="1">
      <alignment horizontal="right" vertical="center" wrapText="1"/>
      <protection hidden="1"/>
    </xf>
    <xf numFmtId="170" fontId="31" fillId="3" borderId="8" xfId="167" applyNumberFormat="1" applyFont="1" applyFill="1" applyBorder="1" applyAlignment="1" applyProtection="1">
      <alignment horizontal="right" vertical="center"/>
      <protection hidden="1"/>
    </xf>
    <xf numFmtId="170" fontId="31" fillId="3" borderId="9" xfId="167" applyNumberFormat="1" applyFont="1" applyFill="1" applyBorder="1" applyAlignment="1" applyProtection="1">
      <alignment horizontal="right" vertical="center"/>
      <protection hidden="1"/>
    </xf>
    <xf numFmtId="168" fontId="22" fillId="6" borderId="14" xfId="161" applyNumberFormat="1" applyFont="1" applyFill="1" applyBorder="1" applyAlignment="1" applyProtection="1">
      <alignment horizontal="right" wrapText="1"/>
      <protection hidden="1"/>
    </xf>
    <xf numFmtId="198" fontId="68" fillId="2" borderId="29" xfId="166" applyNumberFormat="1" applyFont="1" applyFill="1" applyBorder="1" applyAlignment="1">
      <alignment horizontal="center" vertical="center" shrinkToFit="1"/>
    </xf>
    <xf numFmtId="198" fontId="68" fillId="2" borderId="0" xfId="166" applyNumberFormat="1" applyFont="1" applyFill="1" applyAlignment="1">
      <alignment horizontal="center" vertical="center" shrinkToFit="1"/>
    </xf>
    <xf numFmtId="0" fontId="26" fillId="6" borderId="30" xfId="161" applyFont="1" applyFill="1" applyBorder="1" applyAlignment="1" applyProtection="1">
      <alignment horizontal="center" wrapText="1"/>
      <protection hidden="1"/>
    </xf>
    <xf numFmtId="0" fontId="26" fillId="6" borderId="14" xfId="161" applyFont="1" applyFill="1" applyBorder="1" applyAlignment="1" applyProtection="1">
      <alignment horizontal="center" wrapText="1"/>
      <protection hidden="1"/>
    </xf>
    <xf numFmtId="202" fontId="26" fillId="0" borderId="29" xfId="161" applyNumberFormat="1" applyFont="1" applyBorder="1" applyAlignment="1" applyProtection="1">
      <alignment horizontal="center" shrinkToFit="1"/>
      <protection hidden="1"/>
    </xf>
    <xf numFmtId="202" fontId="26" fillId="0" borderId="0" xfId="161" applyNumberFormat="1" applyFont="1" applyAlignment="1" applyProtection="1">
      <alignment horizontal="center" shrinkToFit="1"/>
      <protection hidden="1"/>
    </xf>
    <xf numFmtId="203" fontId="26" fillId="0" borderId="29" xfId="161" applyNumberFormat="1" applyFont="1" applyBorder="1" applyAlignment="1" applyProtection="1">
      <alignment horizontal="center" shrinkToFit="1"/>
      <protection hidden="1"/>
    </xf>
    <xf numFmtId="203" fontId="26" fillId="0" borderId="0" xfId="161" applyNumberFormat="1" applyFont="1" applyAlignment="1" applyProtection="1">
      <alignment horizontal="center" shrinkToFit="1"/>
      <protection hidden="1"/>
    </xf>
    <xf numFmtId="0" fontId="22" fillId="0" borderId="6" xfId="161" applyFont="1" applyBorder="1" applyAlignment="1" applyProtection="1">
      <alignment horizontal="center" vertical="center" wrapText="1" shrinkToFit="1"/>
      <protection hidden="1"/>
    </xf>
    <xf numFmtId="166" fontId="21" fillId="3" borderId="0" xfId="161" applyNumberFormat="1" applyFont="1" applyFill="1" applyAlignment="1" applyProtection="1">
      <alignment vertical="center" wrapText="1" shrinkToFit="1"/>
      <protection hidden="1"/>
    </xf>
    <xf numFmtId="166" fontId="21" fillId="3" borderId="7" xfId="161" applyNumberFormat="1" applyFont="1" applyFill="1" applyBorder="1" applyAlignment="1" applyProtection="1">
      <alignment vertical="center" wrapText="1" shrinkToFit="1"/>
      <protection hidden="1"/>
    </xf>
    <xf numFmtId="165" fontId="21" fillId="19" borderId="18" xfId="163" applyNumberFormat="1" applyFont="1" applyFill="1" applyBorder="1" applyAlignment="1" applyProtection="1">
      <alignment horizontal="right" vertical="center" wrapText="1" shrinkToFit="1"/>
      <protection locked="0" hidden="1"/>
    </xf>
    <xf numFmtId="165" fontId="21" fillId="19" borderId="9" xfId="163" applyNumberFormat="1" applyFont="1" applyFill="1" applyBorder="1" applyAlignment="1" applyProtection="1">
      <alignment horizontal="right" vertical="center" wrapText="1" shrinkToFit="1"/>
      <protection locked="0" hidden="1"/>
    </xf>
    <xf numFmtId="165" fontId="99" fillId="0" borderId="0" xfId="163" applyNumberFormat="1" applyFont="1" applyFill="1" applyBorder="1" applyAlignment="1" applyProtection="1">
      <alignment horizontal="right" vertical="center" shrinkToFit="1"/>
      <protection hidden="1"/>
    </xf>
    <xf numFmtId="169" fontId="27" fillId="6" borderId="0" xfId="161" applyNumberFormat="1" applyFont="1" applyFill="1" applyAlignment="1" applyProtection="1">
      <alignment horizontal="right" wrapText="1" shrinkToFit="1"/>
      <protection hidden="1"/>
    </xf>
    <xf numFmtId="166" fontId="21" fillId="0" borderId="0" xfId="161" applyNumberFormat="1" applyFont="1" applyAlignment="1" applyProtection="1">
      <alignment vertical="center" wrapText="1" shrinkToFit="1"/>
      <protection hidden="1"/>
    </xf>
    <xf numFmtId="166" fontId="32" fillId="7" borderId="0" xfId="161" applyNumberFormat="1" applyFont="1" applyFill="1" applyAlignment="1" applyProtection="1">
      <alignment vertical="center" shrinkToFit="1"/>
      <protection hidden="1"/>
    </xf>
    <xf numFmtId="178" fontId="38" fillId="6" borderId="0" xfId="161" applyNumberFormat="1" applyFont="1" applyFill="1" applyAlignment="1" applyProtection="1">
      <alignment horizontal="right" vertical="center" wrapText="1"/>
      <protection hidden="1"/>
    </xf>
    <xf numFmtId="166" fontId="36" fillId="0" borderId="0" xfId="161" applyNumberFormat="1" applyFont="1" applyAlignment="1" applyProtection="1">
      <alignment horizontal="right" vertical="center"/>
      <protection hidden="1"/>
    </xf>
    <xf numFmtId="0" fontId="27" fillId="6" borderId="0" xfId="161" applyFont="1" applyFill="1" applyAlignment="1" applyProtection="1">
      <alignment horizontal="right" wrapText="1" shrinkToFit="1"/>
      <protection hidden="1"/>
    </xf>
    <xf numFmtId="166" fontId="26" fillId="0" borderId="0" xfId="161" applyNumberFormat="1" applyFont="1" applyAlignment="1" applyProtection="1">
      <alignment vertical="center" wrapText="1" shrinkToFit="1"/>
      <protection hidden="1"/>
    </xf>
    <xf numFmtId="166" fontId="21" fillId="19" borderId="2" xfId="161" applyNumberFormat="1" applyFont="1" applyFill="1" applyBorder="1" applyAlignment="1" applyProtection="1">
      <alignment vertical="center" shrinkToFit="1"/>
      <protection locked="0" hidden="1"/>
    </xf>
    <xf numFmtId="180" fontId="60" fillId="0" borderId="0" xfId="161" applyNumberFormat="1" applyFont="1" applyAlignment="1" applyProtection="1">
      <alignment horizontal="center" vertical="center" wrapText="1" shrinkToFit="1"/>
      <protection hidden="1"/>
    </xf>
    <xf numFmtId="170" fontId="27" fillId="6" borderId="0" xfId="161" applyNumberFormat="1" applyFont="1" applyFill="1" applyAlignment="1" applyProtection="1">
      <alignment horizontal="center" wrapText="1" shrinkToFit="1"/>
      <protection hidden="1"/>
    </xf>
    <xf numFmtId="176" fontId="21" fillId="19" borderId="2" xfId="161" applyNumberFormat="1" applyFont="1" applyFill="1" applyBorder="1" applyAlignment="1" applyProtection="1">
      <alignment horizontal="center" vertical="center" shrinkToFit="1"/>
      <protection locked="0" hidden="1"/>
    </xf>
    <xf numFmtId="0" fontId="38" fillId="6" borderId="0" xfId="161" applyFont="1" applyFill="1" applyAlignment="1" applyProtection="1">
      <alignment horizontal="right" wrapText="1"/>
      <protection hidden="1"/>
    </xf>
    <xf numFmtId="166" fontId="36" fillId="0" borderId="0" xfId="161" applyNumberFormat="1" applyFont="1" applyAlignment="1" applyProtection="1">
      <alignment horizontal="right" vertical="center" shrinkToFit="1"/>
      <protection hidden="1"/>
    </xf>
    <xf numFmtId="232" fontId="59" fillId="0" borderId="0" xfId="161" applyNumberFormat="1" applyFont="1" applyAlignment="1" applyProtection="1">
      <alignment horizontal="right" vertical="center" shrinkToFit="1"/>
      <protection hidden="1"/>
    </xf>
    <xf numFmtId="178" fontId="20" fillId="0" borderId="0" xfId="161" applyNumberFormat="1" applyFont="1" applyAlignment="1" applyProtection="1">
      <alignment horizontal="right" vertical="center" wrapText="1"/>
      <protection hidden="1"/>
    </xf>
    <xf numFmtId="170" fontId="22" fillId="6" borderId="0" xfId="161" applyNumberFormat="1" applyFont="1" applyFill="1" applyAlignment="1" applyProtection="1">
      <alignment horizontal="center" wrapText="1" shrinkToFit="1"/>
      <protection hidden="1"/>
    </xf>
    <xf numFmtId="176" fontId="26" fillId="19" borderId="2" xfId="161" applyNumberFormat="1" applyFont="1" applyFill="1" applyBorder="1" applyAlignment="1" applyProtection="1">
      <alignment horizontal="center" vertical="center" shrinkToFit="1"/>
      <protection locked="0" hidden="1"/>
    </xf>
    <xf numFmtId="166" fontId="26" fillId="14" borderId="0" xfId="161" applyNumberFormat="1" applyFont="1" applyFill="1" applyAlignment="1" applyProtection="1">
      <alignment vertical="center" wrapText="1" shrinkToFit="1"/>
      <protection hidden="1"/>
    </xf>
    <xf numFmtId="166" fontId="26" fillId="14" borderId="7" xfId="161" applyNumberFormat="1" applyFont="1" applyFill="1" applyBorder="1" applyAlignment="1" applyProtection="1">
      <alignment vertical="center" wrapText="1" shrinkToFit="1"/>
      <protection hidden="1"/>
    </xf>
    <xf numFmtId="166" fontId="26" fillId="22" borderId="0" xfId="161" applyNumberFormat="1" applyFont="1" applyFill="1" applyAlignment="1" applyProtection="1">
      <alignment vertical="center" wrapText="1" shrinkToFit="1"/>
      <protection hidden="1"/>
    </xf>
    <xf numFmtId="166" fontId="26" fillId="22" borderId="7" xfId="161" applyNumberFormat="1" applyFont="1" applyFill="1" applyBorder="1" applyAlignment="1" applyProtection="1">
      <alignment vertical="center" wrapText="1" shrinkToFit="1"/>
      <protection hidden="1"/>
    </xf>
    <xf numFmtId="176" fontId="25" fillId="21" borderId="0" xfId="161" applyNumberFormat="1" applyFont="1" applyFill="1" applyAlignment="1" applyProtection="1">
      <alignment horizontal="center" vertical="center"/>
      <protection hidden="1"/>
    </xf>
    <xf numFmtId="166" fontId="36" fillId="0" borderId="0" xfId="161" applyNumberFormat="1" applyFont="1" applyAlignment="1" applyProtection="1">
      <alignment vertical="center"/>
      <protection hidden="1"/>
    </xf>
    <xf numFmtId="178" fontId="38" fillId="6" borderId="0" xfId="161" applyNumberFormat="1" applyFont="1" applyFill="1" applyAlignment="1" applyProtection="1">
      <alignment vertical="center" wrapText="1"/>
      <protection hidden="1"/>
    </xf>
    <xf numFmtId="178" fontId="20" fillId="0" borderId="0" xfId="161" applyNumberFormat="1" applyFont="1" applyAlignment="1" applyProtection="1">
      <alignment vertical="center" wrapText="1"/>
      <protection hidden="1"/>
    </xf>
    <xf numFmtId="232" fontId="59" fillId="0" borderId="0" xfId="161" applyNumberFormat="1" applyFont="1" applyAlignment="1" applyProtection="1">
      <alignment vertical="center" wrapText="1" shrinkToFit="1"/>
      <protection hidden="1"/>
    </xf>
    <xf numFmtId="166" fontId="36" fillId="0" borderId="0" xfId="161" applyNumberFormat="1" applyFont="1" applyAlignment="1" applyProtection="1">
      <alignment vertical="center" shrinkToFit="1"/>
      <protection hidden="1"/>
    </xf>
    <xf numFmtId="166" fontId="22" fillId="6" borderId="0" xfId="161" applyNumberFormat="1" applyFont="1" applyFill="1" applyAlignment="1" applyProtection="1">
      <alignment vertical="center" shrinkToFit="1"/>
      <protection hidden="1"/>
    </xf>
    <xf numFmtId="166" fontId="32" fillId="7" borderId="7" xfId="161" applyNumberFormat="1" applyFont="1" applyFill="1" applyBorder="1" applyAlignment="1" applyProtection="1">
      <alignment vertical="center" shrinkToFit="1"/>
      <protection hidden="1"/>
    </xf>
    <xf numFmtId="178" fontId="29" fillId="0" borderId="0" xfId="161" applyNumberFormat="1" applyFont="1" applyAlignment="1" applyProtection="1">
      <alignment horizontal="right" vertical="center" wrapText="1"/>
      <protection hidden="1"/>
    </xf>
    <xf numFmtId="176" fontId="26" fillId="19" borderId="2" xfId="161" applyNumberFormat="1" applyFont="1" applyFill="1" applyBorder="1" applyAlignment="1" applyProtection="1">
      <alignment horizontal="center" vertical="center"/>
      <protection locked="0" hidden="1"/>
    </xf>
    <xf numFmtId="211" fontId="20" fillId="0" borderId="0" xfId="161" applyNumberFormat="1" applyFont="1" applyAlignment="1" applyProtection="1">
      <alignment horizontal="left" vertical="center" shrinkToFit="1"/>
      <protection hidden="1"/>
    </xf>
    <xf numFmtId="0" fontId="44" fillId="0" borderId="49" xfId="161" applyFont="1" applyBorder="1" applyAlignment="1" applyProtection="1">
      <alignment horizontal="center" vertical="center" wrapText="1"/>
      <protection hidden="1"/>
    </xf>
    <xf numFmtId="0" fontId="44" fillId="0" borderId="51" xfId="161" applyFont="1" applyBorder="1" applyAlignment="1" applyProtection="1">
      <alignment horizontal="center" vertical="center" wrapText="1"/>
      <protection hidden="1"/>
    </xf>
    <xf numFmtId="0" fontId="44" fillId="0" borderId="53" xfId="161" applyFont="1" applyBorder="1" applyAlignment="1" applyProtection="1">
      <alignment horizontal="center" vertical="center" wrapText="1"/>
      <protection hidden="1"/>
    </xf>
    <xf numFmtId="176" fontId="21" fillId="19" borderId="2" xfId="161" applyNumberFormat="1" applyFont="1" applyFill="1" applyBorder="1" applyAlignment="1" applyProtection="1">
      <alignment horizontal="center" vertical="center"/>
      <protection locked="0" hidden="1"/>
    </xf>
    <xf numFmtId="176" fontId="25" fillId="15" borderId="0" xfId="161" applyNumberFormat="1" applyFont="1" applyFill="1" applyAlignment="1" applyProtection="1">
      <alignment horizontal="center" vertical="center"/>
      <protection hidden="1"/>
    </xf>
    <xf numFmtId="176" fontId="25" fillId="7" borderId="0" xfId="161" applyNumberFormat="1" applyFont="1" applyFill="1" applyAlignment="1" applyProtection="1">
      <alignment horizontal="center" vertical="center"/>
      <protection hidden="1"/>
    </xf>
    <xf numFmtId="0" fontId="75" fillId="0" borderId="112" xfId="161" applyFont="1" applyBorder="1" applyAlignment="1" applyProtection="1">
      <alignment horizontal="center" vertical="center" wrapText="1"/>
      <protection hidden="1"/>
    </xf>
    <xf numFmtId="0" fontId="75" fillId="0" borderId="113" xfId="161" applyFont="1" applyBorder="1" applyAlignment="1" applyProtection="1">
      <alignment horizontal="center" vertical="center" wrapText="1"/>
      <protection hidden="1"/>
    </xf>
    <xf numFmtId="0" fontId="45" fillId="0" borderId="6" xfId="161" applyFont="1" applyBorder="1" applyAlignment="1" applyProtection="1">
      <alignment horizontal="center" vertical="center"/>
      <protection hidden="1"/>
    </xf>
    <xf numFmtId="0" fontId="23" fillId="0" borderId="0" xfId="161" applyFont="1" applyAlignment="1" applyProtection="1">
      <alignment horizontal="center" vertical="center" wrapText="1"/>
      <protection hidden="1"/>
    </xf>
    <xf numFmtId="167" fontId="22" fillId="6" borderId="0" xfId="161" applyNumberFormat="1" applyFont="1" applyFill="1" applyAlignment="1" applyProtection="1">
      <alignment horizontal="center" vertical="center"/>
      <protection hidden="1"/>
    </xf>
    <xf numFmtId="176" fontId="25" fillId="12" borderId="0" xfId="161" applyNumberFormat="1" applyFont="1" applyFill="1" applyAlignment="1" applyProtection="1">
      <alignment horizontal="center" vertical="center"/>
      <protection hidden="1"/>
    </xf>
    <xf numFmtId="176" fontId="25" fillId="20" borderId="0" xfId="161" applyNumberFormat="1" applyFont="1" applyFill="1" applyAlignment="1" applyProtection="1">
      <alignment horizontal="center" vertical="center"/>
      <protection hidden="1"/>
    </xf>
    <xf numFmtId="170" fontId="33" fillId="6" borderId="6" xfId="161" applyNumberFormat="1" applyFont="1" applyFill="1" applyBorder="1" applyAlignment="1" applyProtection="1">
      <alignment horizontal="center" wrapText="1" shrinkToFit="1"/>
      <protection hidden="1"/>
    </xf>
    <xf numFmtId="176" fontId="24" fillId="0" borderId="0" xfId="161" applyNumberFormat="1" applyFont="1" applyAlignment="1" applyProtection="1">
      <alignment horizontal="center" vertical="center" shrinkToFit="1"/>
      <protection hidden="1"/>
    </xf>
    <xf numFmtId="0" fontId="26" fillId="0" borderId="57" xfId="166" applyFont="1" applyBorder="1" applyAlignment="1" applyProtection="1">
      <alignment horizontal="left" vertical="center" wrapText="1" indent="1"/>
      <protection hidden="1"/>
    </xf>
    <xf numFmtId="0" fontId="27" fillId="0" borderId="57" xfId="166" applyFont="1" applyBorder="1" applyAlignment="1" applyProtection="1">
      <alignment horizontal="left" vertical="center" wrapText="1" indent="1"/>
      <protection hidden="1"/>
    </xf>
    <xf numFmtId="0" fontId="27" fillId="0" borderId="108" xfId="166" applyFont="1" applyBorder="1" applyAlignment="1" applyProtection="1">
      <alignment horizontal="left" vertical="center" wrapText="1"/>
      <protection hidden="1"/>
    </xf>
    <xf numFmtId="0" fontId="26" fillId="0" borderId="108" xfId="166" applyFont="1" applyBorder="1" applyAlignment="1" applyProtection="1">
      <alignment horizontal="left" vertical="center" wrapText="1"/>
      <protection hidden="1"/>
    </xf>
    <xf numFmtId="0" fontId="57" fillId="2" borderId="127" xfId="166" applyFont="1" applyFill="1" applyBorder="1" applyAlignment="1" applyProtection="1">
      <alignment horizontal="left" vertical="center" wrapText="1" indent="1"/>
      <protection hidden="1"/>
    </xf>
    <xf numFmtId="0" fontId="95" fillId="2" borderId="128" xfId="166" applyFont="1" applyFill="1" applyBorder="1" applyAlignment="1" applyProtection="1">
      <alignment horizontal="left" vertical="center" wrapText="1" indent="1"/>
      <protection hidden="1"/>
    </xf>
    <xf numFmtId="0" fontId="95" fillId="2" borderId="129" xfId="166" applyFont="1" applyFill="1" applyBorder="1" applyAlignment="1" applyProtection="1">
      <alignment horizontal="left" vertical="center" wrapText="1" indent="1"/>
      <protection hidden="1"/>
    </xf>
    <xf numFmtId="0" fontId="57" fillId="2" borderId="127" xfId="166" applyFont="1" applyFill="1" applyBorder="1" applyAlignment="1" applyProtection="1">
      <alignment horizontal="left" vertical="center" indent="1" shrinkToFit="1"/>
      <protection hidden="1"/>
    </xf>
    <xf numFmtId="0" fontId="95" fillId="2" borderId="128" xfId="166" applyFont="1" applyFill="1" applyBorder="1" applyAlignment="1" applyProtection="1">
      <alignment horizontal="left" vertical="center" indent="1" shrinkToFit="1"/>
      <protection hidden="1"/>
    </xf>
    <xf numFmtId="0" fontId="95" fillId="2" borderId="129" xfId="166" applyFont="1" applyFill="1" applyBorder="1" applyAlignment="1" applyProtection="1">
      <alignment horizontal="left" vertical="center" indent="1" shrinkToFit="1"/>
      <protection hidden="1"/>
    </xf>
    <xf numFmtId="198" fontId="90" fillId="47" borderId="47" xfId="168" applyNumberFormat="1" applyFont="1" applyBorder="1" applyAlignment="1">
      <alignment horizontal="center" vertical="center" shrinkToFit="1"/>
    </xf>
    <xf numFmtId="198" fontId="90" fillId="47" borderId="99" xfId="168" applyNumberFormat="1" applyFont="1" applyBorder="1" applyAlignment="1">
      <alignment horizontal="center" vertical="center" shrinkToFit="1"/>
    </xf>
    <xf numFmtId="199" fontId="91" fillId="48" borderId="47" xfId="169" applyNumberFormat="1" applyFont="1" applyBorder="1" applyAlignment="1">
      <alignment horizontal="center" vertical="center" shrinkToFit="1"/>
    </xf>
    <xf numFmtId="199" fontId="91" fillId="48" borderId="99" xfId="169" applyNumberFormat="1" applyFont="1" applyBorder="1" applyAlignment="1">
      <alignment horizontal="center" vertical="center" shrinkToFit="1"/>
    </xf>
    <xf numFmtId="0" fontId="80" fillId="41" borderId="20" xfId="166" applyFont="1" applyFill="1" applyBorder="1" applyAlignment="1">
      <alignment horizontal="center" wrapText="1"/>
    </xf>
    <xf numFmtId="0" fontId="80" fillId="41" borderId="14" xfId="166" applyFont="1" applyFill="1" applyBorder="1" applyAlignment="1">
      <alignment horizontal="center" wrapText="1"/>
    </xf>
    <xf numFmtId="0" fontId="92" fillId="37" borderId="0" xfId="166" applyFont="1" applyFill="1" applyAlignment="1">
      <alignment horizontal="center" vertical="center" wrapText="1"/>
    </xf>
    <xf numFmtId="0" fontId="90" fillId="47" borderId="47" xfId="168" applyFont="1" applyBorder="1" applyAlignment="1">
      <alignment horizontal="center" vertical="center" shrinkToFit="1"/>
    </xf>
    <xf numFmtId="0" fontId="90" fillId="47" borderId="99" xfId="168" applyFont="1" applyBorder="1" applyAlignment="1">
      <alignment horizontal="center" vertical="center" shrinkToFit="1"/>
    </xf>
    <xf numFmtId="0" fontId="91" fillId="48" borderId="47" xfId="169" applyFont="1" applyBorder="1" applyAlignment="1">
      <alignment horizontal="center" vertical="center" shrinkToFit="1"/>
    </xf>
    <xf numFmtId="0" fontId="91" fillId="48" borderId="99" xfId="169" applyFont="1" applyBorder="1" applyAlignment="1">
      <alignment horizontal="center" vertical="center" shrinkToFit="1"/>
    </xf>
    <xf numFmtId="0" fontId="84" fillId="37" borderId="0" xfId="166" applyFont="1" applyFill="1" applyAlignment="1">
      <alignment horizontal="left" vertical="center" wrapText="1"/>
    </xf>
    <xf numFmtId="0" fontId="84" fillId="37" borderId="23" xfId="166" applyFont="1" applyFill="1" applyBorder="1" applyAlignment="1">
      <alignment horizontal="left" vertical="center" wrapText="1"/>
    </xf>
    <xf numFmtId="170" fontId="50" fillId="24" borderId="0" xfId="0" applyNumberFormat="1" applyFont="1" applyFill="1" applyAlignment="1" applyProtection="1">
      <alignment horizontal="center" vertical="center" wrapText="1"/>
      <protection hidden="1"/>
    </xf>
    <xf numFmtId="0" fontId="80" fillId="2" borderId="0" xfId="166" applyFont="1" applyFill="1" applyAlignment="1">
      <alignment horizontal="center" vertical="center" wrapText="1"/>
    </xf>
    <xf numFmtId="0" fontId="80" fillId="2" borderId="14" xfId="166" applyFont="1" applyFill="1" applyBorder="1" applyAlignment="1">
      <alignment horizontal="center" vertical="center" wrapText="1"/>
    </xf>
    <xf numFmtId="0" fontId="27" fillId="6" borderId="14" xfId="166" applyFont="1" applyFill="1" applyBorder="1" applyAlignment="1" applyProtection="1">
      <alignment horizontal="center" wrapText="1"/>
      <protection hidden="1"/>
    </xf>
    <xf numFmtId="0" fontId="52" fillId="6" borderId="14" xfId="166" applyFont="1" applyFill="1" applyBorder="1" applyAlignment="1">
      <alignment horizontal="center" wrapText="1"/>
    </xf>
    <xf numFmtId="0" fontId="26" fillId="0" borderId="0" xfId="166" applyFont="1" applyAlignment="1" applyProtection="1">
      <alignment horizontal="right" vertical="center" wrapText="1"/>
      <protection hidden="1"/>
    </xf>
    <xf numFmtId="0" fontId="26" fillId="0" borderId="6" xfId="166" applyFont="1" applyBorder="1" applyAlignment="1" applyProtection="1">
      <alignment horizontal="right" vertical="center"/>
      <protection hidden="1"/>
    </xf>
    <xf numFmtId="0" fontId="26" fillId="0" borderId="14" xfId="166" applyFont="1" applyBorder="1" applyAlignment="1" applyProtection="1">
      <alignment horizontal="right" vertical="center"/>
      <protection hidden="1"/>
    </xf>
    <xf numFmtId="0" fontId="26" fillId="0" borderId="20" xfId="166" applyFont="1" applyBorder="1" applyAlignment="1" applyProtection="1">
      <alignment horizontal="right" vertical="center" wrapText="1"/>
      <protection hidden="1"/>
    </xf>
    <xf numFmtId="0" fontId="26" fillId="0" borderId="6" xfId="166" applyFont="1" applyBorder="1" applyAlignment="1" applyProtection="1">
      <alignment horizontal="right" vertical="center" wrapText="1"/>
      <protection hidden="1"/>
    </xf>
    <xf numFmtId="0" fontId="26" fillId="0" borderId="1" xfId="166" applyFont="1" applyBorder="1" applyAlignment="1" applyProtection="1">
      <alignment horizontal="right" vertical="center" wrapText="1"/>
      <protection hidden="1"/>
    </xf>
    <xf numFmtId="0" fontId="26" fillId="0" borderId="14" xfId="166" applyFont="1" applyBorder="1" applyAlignment="1" applyProtection="1">
      <alignment horizontal="right" vertical="center" wrapText="1"/>
      <protection hidden="1"/>
    </xf>
    <xf numFmtId="0" fontId="80" fillId="41" borderId="20" xfId="166" applyFont="1" applyFill="1" applyBorder="1" applyAlignment="1">
      <alignment horizontal="center" vertical="center" wrapText="1"/>
    </xf>
    <xf numFmtId="0" fontId="80" fillId="41" borderId="0" xfId="166" applyFont="1" applyFill="1" applyAlignment="1">
      <alignment horizontal="center" vertical="center" wrapText="1"/>
    </xf>
    <xf numFmtId="0" fontId="80" fillId="41" borderId="14" xfId="166" applyFont="1" applyFill="1" applyBorder="1" applyAlignment="1">
      <alignment horizontal="center" vertical="center" wrapText="1"/>
    </xf>
    <xf numFmtId="0" fontId="87" fillId="44" borderId="20" xfId="166" applyFont="1" applyFill="1" applyBorder="1" applyAlignment="1" applyProtection="1">
      <alignment horizontal="center" vertical="center" wrapText="1"/>
      <protection hidden="1"/>
    </xf>
    <xf numFmtId="0" fontId="87" fillId="44" borderId="14" xfId="166" applyFont="1" applyFill="1" applyBorder="1" applyAlignment="1" applyProtection="1">
      <alignment horizontal="center" vertical="center" wrapText="1"/>
      <protection hidden="1"/>
    </xf>
  </cellXfs>
  <cellStyles count="170">
    <cellStyle name="Bad" xfId="169" builtinId="27"/>
    <cellStyle name="Comma" xfId="165" builtinId="3"/>
    <cellStyle name="Comma [0] 2" xfId="2" xr:uid="{00000000-0005-0000-0000-000001000000}"/>
    <cellStyle name="Comma [0] 3" xfId="3" xr:uid="{00000000-0005-0000-0000-000002000000}"/>
    <cellStyle name="Comma [0] 4" xfId="4" xr:uid="{00000000-0005-0000-0000-000003000000}"/>
    <cellStyle name="Comma [0] 4 2" xfId="5" xr:uid="{00000000-0005-0000-0000-000004000000}"/>
    <cellStyle name="Comma [0] 5" xfId="6" xr:uid="{00000000-0005-0000-0000-000005000000}"/>
    <cellStyle name="Comma [0] 6" xfId="7" xr:uid="{00000000-0005-0000-0000-000006000000}"/>
    <cellStyle name="Comma [0] 7" xfId="8" xr:uid="{00000000-0005-0000-0000-000007000000}"/>
    <cellStyle name="Comma [0] 7 2" xfId="95" xr:uid="{00000000-0005-0000-0000-000008000000}"/>
    <cellStyle name="Comma [0] 8" xfId="9" xr:uid="{00000000-0005-0000-0000-000009000000}"/>
    <cellStyle name="Comma 2" xfId="10" xr:uid="{00000000-0005-0000-0000-00000A000000}"/>
    <cellStyle name="Comma 3" xfId="11" xr:uid="{00000000-0005-0000-0000-00000B000000}"/>
    <cellStyle name="Comma 4" xfId="158" xr:uid="{F3FA9A7F-6699-F64D-913C-1C88700D38A1}"/>
    <cellStyle name="Currency 2" xfId="12" xr:uid="{00000000-0005-0000-0000-00000C000000}"/>
    <cellStyle name="Currency 3" xfId="154" xr:uid="{2EC74409-5301-B54C-A27C-2AA41F61143F}"/>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Followed Hyperlink" xfId="126" builtinId="9" hidden="1"/>
    <cellStyle name="Followed Hyperlink" xfId="127" builtinId="9" hidden="1"/>
    <cellStyle name="Followed Hyperlink" xfId="128"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6" builtinId="9" hidden="1"/>
    <cellStyle name="Followed Hyperlink" xfId="147" builtinId="9" hidden="1"/>
    <cellStyle name="Followed Hyperlink" xfId="148" builtinId="9" hidden="1"/>
    <cellStyle name="Good" xfId="168" builtinId="26"/>
    <cellStyle name="Normal" xfId="0" builtinId="0"/>
    <cellStyle name="Normal 10" xfId="13" xr:uid="{00000000-0005-0000-0000-000077000000}"/>
    <cellStyle name="Normal 10 2" xfId="1" xr:uid="{00000000-0005-0000-0000-000078000000}"/>
    <cellStyle name="Normal 10 2 2" xfId="29" xr:uid="{00000000-0005-0000-0000-000079000000}"/>
    <cellStyle name="Normal 10 2 2 2" xfId="151" xr:uid="{4988D9FF-654C-48D1-9516-FA0C2E9F766D}"/>
    <cellStyle name="Normal 11" xfId="14" xr:uid="{00000000-0005-0000-0000-00007A000000}"/>
    <cellStyle name="Normal 11 2" xfId="96" xr:uid="{00000000-0005-0000-0000-00007B000000}"/>
    <cellStyle name="Normal 11 3" xfId="97" xr:uid="{00000000-0005-0000-0000-00007C000000}"/>
    <cellStyle name="Normal 11 3 2" xfId="98" xr:uid="{00000000-0005-0000-0000-00007D000000}"/>
    <cellStyle name="Normal 12" xfId="99" xr:uid="{00000000-0005-0000-0000-00007E000000}"/>
    <cellStyle name="Normal 13" xfId="94" xr:uid="{00000000-0005-0000-0000-00007F000000}"/>
    <cellStyle name="Normal 14" xfId="100" xr:uid="{00000000-0005-0000-0000-000080000000}"/>
    <cellStyle name="Normal 15" xfId="140" xr:uid="{00000000-0005-0000-0000-000081000000}"/>
    <cellStyle name="Normal 15 2" xfId="149" xr:uid="{3F2C367D-8DD1-4A45-B64E-7CE5088D5391}"/>
    <cellStyle name="Normal 15 3" xfId="153" xr:uid="{8DABF4B8-BB04-6A43-A7A7-810CA3C42282}"/>
    <cellStyle name="Normal 15 4" xfId="155" xr:uid="{4209585A-2B3E-7741-A015-0EF47E43E2F9}"/>
    <cellStyle name="Normal 15 4 2" xfId="161" xr:uid="{897EEDEE-3039-F543-BD15-6B23CA01917D}"/>
    <cellStyle name="Normal 15 4 2 2" xfId="164" xr:uid="{C9862774-3F14-2B4A-BA91-42140CCA7825}"/>
    <cellStyle name="Normal 15 4 2 3" xfId="167" xr:uid="{31979161-D6E1-CE44-88A9-BD0F0FAE8D30}"/>
    <cellStyle name="Normal 15 5" xfId="160" xr:uid="{EAEA4AE3-2C93-2049-830F-09D4636F3741}"/>
    <cellStyle name="Normal 15 6" xfId="166" xr:uid="{9950AF2E-5A42-1F40-BCFB-F443C2EF0FC8}"/>
    <cellStyle name="Normal 16" xfId="145" xr:uid="{00000000-0005-0000-0000-000082000000}"/>
    <cellStyle name="Normal 16 2" xfId="150" xr:uid="{4C42B803-4DB5-4010-9427-AC92FD7FADA1}"/>
    <cellStyle name="Normal 16 3" xfId="159" xr:uid="{9926601B-183E-884A-8EF2-8331DCC18040}"/>
    <cellStyle name="Normal 2" xfId="15" xr:uid="{00000000-0005-0000-0000-000083000000}"/>
    <cellStyle name="Normal 3" xfId="16" xr:uid="{00000000-0005-0000-0000-000084000000}"/>
    <cellStyle name="Normal 3 2" xfId="17" xr:uid="{00000000-0005-0000-0000-000085000000}"/>
    <cellStyle name="Normal 3 3" xfId="18" xr:uid="{00000000-0005-0000-0000-000086000000}"/>
    <cellStyle name="Normal 3 4" xfId="101" xr:uid="{00000000-0005-0000-0000-000087000000}"/>
    <cellStyle name="Normal 3 5" xfId="102" xr:uid="{00000000-0005-0000-0000-000088000000}"/>
    <cellStyle name="Normal 3 5 2" xfId="103" xr:uid="{00000000-0005-0000-0000-000089000000}"/>
    <cellStyle name="Normal 3 6" xfId="104" xr:uid="{00000000-0005-0000-0000-00008A000000}"/>
    <cellStyle name="Normal 4" xfId="19" xr:uid="{00000000-0005-0000-0000-00008B000000}"/>
    <cellStyle name="Normal 4 2" xfId="20" xr:uid="{00000000-0005-0000-0000-00008C000000}"/>
    <cellStyle name="Normal 4 2 2" xfId="105" xr:uid="{00000000-0005-0000-0000-00008D000000}"/>
    <cellStyle name="Normal 4 3" xfId="21" xr:uid="{00000000-0005-0000-0000-00008E000000}"/>
    <cellStyle name="Normal 5" xfId="22" xr:uid="{00000000-0005-0000-0000-00008F000000}"/>
    <cellStyle name="Normal 6" xfId="23" xr:uid="{00000000-0005-0000-0000-000090000000}"/>
    <cellStyle name="Normal 7" xfId="24" xr:uid="{00000000-0005-0000-0000-000091000000}"/>
    <cellStyle name="Normal 8" xfId="25" xr:uid="{00000000-0005-0000-0000-000092000000}"/>
    <cellStyle name="Normal 8 2" xfId="106" xr:uid="{00000000-0005-0000-0000-000093000000}"/>
    <cellStyle name="Normal 9" xfId="26" xr:uid="{00000000-0005-0000-0000-000094000000}"/>
    <cellStyle name="Percent" xfId="163" builtinId="5"/>
    <cellStyle name="Percent 2" xfId="27" xr:uid="{00000000-0005-0000-0000-000096000000}"/>
    <cellStyle name="Percent 2 2" xfId="157" xr:uid="{1C73349A-5A31-0A4C-AB12-9387F6E6911C}"/>
    <cellStyle name="Percent 3" xfId="28" xr:uid="{00000000-0005-0000-0000-000097000000}"/>
    <cellStyle name="Percent 4" xfId="156" xr:uid="{EC76BEC3-F7DD-4D41-9622-B0DBEDBB982B}"/>
    <cellStyle name="Percent 4 2" xfId="162" xr:uid="{844FB55A-EC71-2648-B0E8-E2E9F8AEB489}"/>
    <cellStyle name="Standard 2" xfId="152" xr:uid="{098C5079-7DF8-46D6-B6E8-72C811265A05}"/>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Medium4"/>
  <colors>
    <mruColors>
      <color rgb="FFFFF7E6"/>
      <color rgb="FFFFF8E6"/>
      <color rgb="FFFFFCF3"/>
      <color rgb="FFF9F9F9"/>
      <color rgb="FFF4EBEB"/>
      <color rgb="FFFDF6F1"/>
      <color rgb="FFFDEFE4"/>
      <color rgb="FFE5EBF1"/>
      <color rgb="FFFFE6E6"/>
      <color rgb="FFD9E5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4C128-3E52-3442-B012-C04E68AD75D6}">
  <sheetPr>
    <tabColor theme="6" tint="0.79998168889431442"/>
  </sheetPr>
  <dimension ref="A1:B43"/>
  <sheetViews>
    <sheetView workbookViewId="0">
      <selection activeCell="B43" sqref="B43"/>
    </sheetView>
  </sheetViews>
  <sheetFormatPr baseColWidth="10" defaultColWidth="10.6640625" defaultRowHeight="14" customHeight="1" x14ac:dyDescent="0.15"/>
  <cols>
    <col min="1" max="1" width="23" style="457" customWidth="1"/>
    <col min="2" max="2" width="92.6640625" style="448" customWidth="1"/>
    <col min="3" max="16384" width="10.6640625" style="6"/>
  </cols>
  <sheetData>
    <row r="1" spans="1:2" ht="14" customHeight="1" x14ac:dyDescent="0.2">
      <c r="A1" s="456" t="s">
        <v>333</v>
      </c>
      <c r="B1" s="447" t="s">
        <v>356</v>
      </c>
    </row>
    <row r="2" spans="1:2" ht="14" customHeight="1" thickBot="1" x14ac:dyDescent="0.2"/>
    <row r="3" spans="1:2" ht="14" customHeight="1" x14ac:dyDescent="0.15">
      <c r="A3" s="458" t="s">
        <v>338</v>
      </c>
      <c r="B3" s="449" t="s">
        <v>339</v>
      </c>
    </row>
    <row r="4" spans="1:2" s="139" customFormat="1" ht="14" customHeight="1" thickBot="1" x14ac:dyDescent="0.2">
      <c r="A4" s="459" t="s">
        <v>337</v>
      </c>
      <c r="B4" s="450" t="s">
        <v>582</v>
      </c>
    </row>
    <row r="5" spans="1:2" s="139" customFormat="1" ht="14" customHeight="1" thickBot="1" x14ac:dyDescent="0.2">
      <c r="A5" s="460"/>
      <c r="B5" s="451"/>
    </row>
    <row r="6" spans="1:2" s="139" customFormat="1" ht="14" customHeight="1" x14ac:dyDescent="0.15">
      <c r="A6" s="461">
        <v>1</v>
      </c>
      <c r="B6" s="452" t="s">
        <v>343</v>
      </c>
    </row>
    <row r="7" spans="1:2" s="139" customFormat="1" ht="14" customHeight="1" x14ac:dyDescent="0.15">
      <c r="A7" s="462" t="s">
        <v>334</v>
      </c>
      <c r="B7" s="453" t="s">
        <v>336</v>
      </c>
    </row>
    <row r="8" spans="1:2" s="139" customFormat="1" ht="14" customHeight="1" x14ac:dyDescent="0.15">
      <c r="A8" s="462" t="s">
        <v>335</v>
      </c>
      <c r="B8" s="453" t="s">
        <v>341</v>
      </c>
    </row>
    <row r="9" spans="1:2" s="139" customFormat="1" ht="14" customHeight="1" thickBot="1" x14ac:dyDescent="0.2">
      <c r="A9" s="463" t="s">
        <v>340</v>
      </c>
      <c r="B9" s="454" t="s">
        <v>342</v>
      </c>
    </row>
    <row r="10" spans="1:2" s="139" customFormat="1" ht="14" customHeight="1" thickBot="1" x14ac:dyDescent="0.2">
      <c r="A10" s="460"/>
      <c r="B10" s="451"/>
    </row>
    <row r="11" spans="1:2" s="139" customFormat="1" ht="14" customHeight="1" x14ac:dyDescent="0.15">
      <c r="A11" s="461">
        <v>2</v>
      </c>
      <c r="B11" s="452" t="s">
        <v>344</v>
      </c>
    </row>
    <row r="12" spans="1:2" s="139" customFormat="1" ht="14" customHeight="1" x14ac:dyDescent="0.15">
      <c r="A12" s="462" t="s">
        <v>345</v>
      </c>
      <c r="B12" s="453" t="s">
        <v>346</v>
      </c>
    </row>
    <row r="13" spans="1:2" s="139" customFormat="1" ht="14" customHeight="1" thickBot="1" x14ac:dyDescent="0.2">
      <c r="A13" s="463" t="s">
        <v>347</v>
      </c>
      <c r="B13" s="454" t="s">
        <v>348</v>
      </c>
    </row>
    <row r="14" spans="1:2" s="139" customFormat="1" ht="14" customHeight="1" thickBot="1" x14ac:dyDescent="0.2">
      <c r="A14" s="460"/>
      <c r="B14" s="451"/>
    </row>
    <row r="15" spans="1:2" s="139" customFormat="1" ht="14" customHeight="1" x14ac:dyDescent="0.15">
      <c r="A15" s="461">
        <v>3</v>
      </c>
      <c r="B15" s="452" t="s">
        <v>349</v>
      </c>
    </row>
    <row r="16" spans="1:2" s="139" customFormat="1" ht="14" customHeight="1" x14ac:dyDescent="0.15">
      <c r="A16" s="462" t="s">
        <v>521</v>
      </c>
      <c r="B16" s="453" t="s">
        <v>350</v>
      </c>
    </row>
    <row r="17" spans="1:2" s="139" customFormat="1" ht="14" customHeight="1" x14ac:dyDescent="0.15">
      <c r="A17" s="462" t="s">
        <v>522</v>
      </c>
      <c r="B17" s="453" t="s">
        <v>351</v>
      </c>
    </row>
    <row r="18" spans="1:2" s="139" customFormat="1" ht="14" customHeight="1" x14ac:dyDescent="0.15">
      <c r="A18" s="462" t="s">
        <v>523</v>
      </c>
      <c r="B18" s="453" t="s">
        <v>352</v>
      </c>
    </row>
    <row r="19" spans="1:2" s="139" customFormat="1" ht="14" customHeight="1" x14ac:dyDescent="0.15">
      <c r="A19" s="462" t="s">
        <v>524</v>
      </c>
      <c r="B19" s="453" t="s">
        <v>353</v>
      </c>
    </row>
    <row r="20" spans="1:2" s="139" customFormat="1" ht="14" customHeight="1" thickBot="1" x14ac:dyDescent="0.2">
      <c r="A20" s="463" t="s">
        <v>354</v>
      </c>
      <c r="B20" s="454" t="s">
        <v>355</v>
      </c>
    </row>
    <row r="21" spans="1:2" s="139" customFormat="1" ht="14" customHeight="1" thickBot="1" x14ac:dyDescent="0.2">
      <c r="A21" s="460"/>
      <c r="B21" s="451"/>
    </row>
    <row r="22" spans="1:2" s="139" customFormat="1" ht="14" customHeight="1" x14ac:dyDescent="0.15">
      <c r="A22" s="461">
        <v>4</v>
      </c>
      <c r="B22" s="452" t="s">
        <v>361</v>
      </c>
    </row>
    <row r="23" spans="1:2" s="139" customFormat="1" ht="14" customHeight="1" x14ac:dyDescent="0.15">
      <c r="A23" s="462" t="s">
        <v>362</v>
      </c>
      <c r="B23" s="453" t="s">
        <v>363</v>
      </c>
    </row>
    <row r="24" spans="1:2" s="139" customFormat="1" ht="14" customHeight="1" thickBot="1" x14ac:dyDescent="0.2">
      <c r="A24" s="463" t="s">
        <v>364</v>
      </c>
      <c r="B24" s="454" t="s">
        <v>365</v>
      </c>
    </row>
    <row r="25" spans="1:2" s="139" customFormat="1" ht="14" customHeight="1" thickBot="1" x14ac:dyDescent="0.2">
      <c r="A25" s="460"/>
      <c r="B25" s="451"/>
    </row>
    <row r="26" spans="1:2" s="139" customFormat="1" ht="14" customHeight="1" x14ac:dyDescent="0.15">
      <c r="A26" s="461" t="s">
        <v>384</v>
      </c>
      <c r="B26" s="452" t="s">
        <v>385</v>
      </c>
    </row>
    <row r="27" spans="1:2" s="139" customFormat="1" ht="14" customHeight="1" x14ac:dyDescent="0.15">
      <c r="A27" s="462" t="s">
        <v>574</v>
      </c>
      <c r="B27" s="453" t="s">
        <v>576</v>
      </c>
    </row>
    <row r="28" spans="1:2" s="139" customFormat="1" ht="14" customHeight="1" x14ac:dyDescent="0.15">
      <c r="A28" s="462" t="s">
        <v>575</v>
      </c>
      <c r="B28" s="453" t="s">
        <v>577</v>
      </c>
    </row>
    <row r="29" spans="1:2" s="139" customFormat="1" ht="14" customHeight="1" x14ac:dyDescent="0.15">
      <c r="A29" s="462" t="s">
        <v>386</v>
      </c>
      <c r="B29" s="453" t="s">
        <v>578</v>
      </c>
    </row>
    <row r="30" spans="1:2" s="139" customFormat="1" ht="14" customHeight="1" thickBot="1" x14ac:dyDescent="0.2">
      <c r="A30" s="463" t="s">
        <v>387</v>
      </c>
      <c r="B30" s="454" t="s">
        <v>388</v>
      </c>
    </row>
    <row r="31" spans="1:2" s="139" customFormat="1" ht="14" customHeight="1" thickBot="1" x14ac:dyDescent="0.2">
      <c r="A31" s="460"/>
      <c r="B31" s="451"/>
    </row>
    <row r="32" spans="1:2" s="139" customFormat="1" ht="14" customHeight="1" x14ac:dyDescent="0.15">
      <c r="A32" s="461" t="s">
        <v>579</v>
      </c>
      <c r="B32" s="452" t="s">
        <v>378</v>
      </c>
    </row>
    <row r="33" spans="1:2" s="139" customFormat="1" ht="14" customHeight="1" x14ac:dyDescent="0.15">
      <c r="A33" s="462" t="s">
        <v>573</v>
      </c>
      <c r="B33" s="453" t="s">
        <v>383</v>
      </c>
    </row>
    <row r="34" spans="1:2" s="139" customFormat="1" ht="14" customHeight="1" thickBot="1" x14ac:dyDescent="0.2">
      <c r="A34" s="463" t="s">
        <v>581</v>
      </c>
      <c r="B34" s="454" t="s">
        <v>580</v>
      </c>
    </row>
    <row r="35" spans="1:2" s="139" customFormat="1" ht="14" customHeight="1" thickBot="1" x14ac:dyDescent="0.2">
      <c r="A35" s="460"/>
      <c r="B35" s="451"/>
    </row>
    <row r="36" spans="1:2" s="139" customFormat="1" ht="14" customHeight="1" x14ac:dyDescent="0.15">
      <c r="A36" s="528" t="s">
        <v>416</v>
      </c>
      <c r="B36" s="529" t="s">
        <v>417</v>
      </c>
    </row>
    <row r="37" spans="1:2" s="139" customFormat="1" ht="14" customHeight="1" x14ac:dyDescent="0.15">
      <c r="A37" s="527" t="s">
        <v>118</v>
      </c>
      <c r="B37" s="525" t="s">
        <v>119</v>
      </c>
    </row>
    <row r="38" spans="1:2" s="139" customFormat="1" ht="14" customHeight="1" x14ac:dyDescent="0.15">
      <c r="A38" s="527" t="s">
        <v>123</v>
      </c>
      <c r="B38" s="525" t="s">
        <v>120</v>
      </c>
    </row>
    <row r="39" spans="1:2" s="139" customFormat="1" ht="14" customHeight="1" x14ac:dyDescent="0.15">
      <c r="A39" s="527" t="s">
        <v>121</v>
      </c>
      <c r="B39" s="525" t="s">
        <v>122</v>
      </c>
    </row>
    <row r="40" spans="1:2" s="139" customFormat="1" ht="14" customHeight="1" x14ac:dyDescent="0.15">
      <c r="A40" s="527" t="s">
        <v>413</v>
      </c>
      <c r="B40" s="525" t="s">
        <v>124</v>
      </c>
    </row>
    <row r="41" spans="1:2" s="139" customFormat="1" ht="14" customHeight="1" thickBot="1" x14ac:dyDescent="0.2">
      <c r="A41" s="463" t="s">
        <v>414</v>
      </c>
      <c r="B41" s="526" t="s">
        <v>415</v>
      </c>
    </row>
    <row r="42" spans="1:2" s="139" customFormat="1" ht="14" customHeight="1" x14ac:dyDescent="0.15">
      <c r="A42" s="464"/>
      <c r="B42" s="455"/>
    </row>
    <row r="43" spans="1:2" ht="14" customHeight="1" x14ac:dyDescent="0.15">
      <c r="A43" s="457" t="s">
        <v>597</v>
      </c>
      <c r="B43" s="448" t="s">
        <v>598</v>
      </c>
    </row>
  </sheetData>
  <sheetProtection selectLockedCells="1"/>
  <printOptions headings="1"/>
  <pageMargins left="0.7" right="0.7" top="0.75" bottom="0.75" header="0.3" footer="0.3"/>
  <pageSetup paperSize="9" scale="73" fitToWidth="0" fitToHeight="5" orientation="landscape" horizontalDpi="4294967292" verticalDpi="4294967292" r:id="rId1"/>
  <headerFooter>
    <oddHeader>&amp;R&amp;K000000&amp;A
Page &amp;P of &amp;N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405CC-0C79-3E49-8819-E5D94C63BA7A}">
  <sheetPr>
    <tabColor theme="5" tint="0.39997558519241921"/>
  </sheetPr>
  <dimension ref="A1:AU74"/>
  <sheetViews>
    <sheetView tabSelected="1" zoomScale="150" zoomScaleNormal="160" workbookViewId="0">
      <selection activeCell="A22" sqref="A1:XFD1048576"/>
    </sheetView>
  </sheetViews>
  <sheetFormatPr baseColWidth="10" defaultColWidth="10.6640625" defaultRowHeight="14" customHeight="1" x14ac:dyDescent="0.15"/>
  <cols>
    <col min="1" max="1" width="28.83203125" style="17" customWidth="1"/>
    <col min="2" max="2" width="11.5" style="17" customWidth="1"/>
    <col min="3" max="5" width="11.83203125" style="65" customWidth="1"/>
    <col min="6" max="6" width="10.6640625" style="10"/>
    <col min="7" max="7" width="11.83203125" style="65" bestFit="1" customWidth="1"/>
    <col min="8" max="8" width="11.83203125" style="65" customWidth="1"/>
    <col min="9" max="9" width="10.6640625" style="10"/>
    <col min="10" max="10" width="11.83203125" style="65" customWidth="1"/>
    <col min="11" max="11" width="10.6640625" style="10"/>
    <col min="12" max="12" width="11.83203125" style="65" bestFit="1" customWidth="1"/>
    <col min="13" max="13" width="11.83203125" style="10" bestFit="1" customWidth="1"/>
    <col min="14" max="16" width="10.6640625" style="10"/>
    <col min="17" max="17" width="10.6640625" style="2"/>
    <col min="18" max="18" width="10.6640625" style="6"/>
    <col min="19" max="19" width="2.5" style="6" customWidth="1"/>
    <col min="20" max="20" width="24.33203125" style="6" customWidth="1"/>
    <col min="21" max="21" width="10.6640625" customWidth="1"/>
    <col min="22" max="26" width="10.6640625" style="10"/>
    <col min="27" max="27" width="10.6640625" style="22"/>
    <col min="28" max="34" width="10.6640625" style="6"/>
    <col min="36" max="45" width="10.6640625" style="6"/>
    <col min="46" max="46" width="10.6640625" style="5"/>
    <col min="47" max="16384" width="10.6640625" style="6"/>
  </cols>
  <sheetData>
    <row r="1" spans="1:47" s="2" customFormat="1" ht="14" customHeight="1" x14ac:dyDescent="0.2">
      <c r="A1" s="36" t="s">
        <v>52</v>
      </c>
      <c r="B1" s="3"/>
      <c r="C1" s="3"/>
      <c r="D1" s="3"/>
      <c r="E1" s="3"/>
      <c r="AA1" s="77"/>
      <c r="AT1" s="24"/>
    </row>
    <row r="2" spans="1:47" ht="28" customHeight="1" thickBot="1" x14ac:dyDescent="0.2">
      <c r="A2" s="1458" t="s">
        <v>25</v>
      </c>
      <c r="B2" s="1458"/>
      <c r="C2" s="261" t="s">
        <v>26</v>
      </c>
      <c r="D2" s="261" t="s">
        <v>27</v>
      </c>
      <c r="E2" s="261" t="s">
        <v>427</v>
      </c>
      <c r="F2" s="261" t="s">
        <v>29</v>
      </c>
      <c r="G2" s="6"/>
      <c r="H2" s="6"/>
      <c r="I2" s="6"/>
      <c r="J2" s="6"/>
      <c r="K2" s="6"/>
      <c r="L2" s="6"/>
      <c r="M2" s="6"/>
      <c r="N2" s="6"/>
      <c r="O2" s="6"/>
      <c r="P2" s="6"/>
      <c r="Q2" s="6"/>
      <c r="U2" s="6"/>
      <c r="V2" s="6"/>
      <c r="W2" s="6"/>
      <c r="X2" s="6"/>
      <c r="Y2" s="6"/>
      <c r="Z2" s="6"/>
      <c r="AA2" s="6"/>
      <c r="AI2" s="6"/>
    </row>
    <row r="3" spans="1:47" ht="14" customHeight="1" x14ac:dyDescent="0.15">
      <c r="A3" s="260"/>
      <c r="B3" s="260" t="s">
        <v>20</v>
      </c>
      <c r="C3" s="764">
        <v>0</v>
      </c>
      <c r="D3" s="765">
        <v>0</v>
      </c>
      <c r="E3" s="764">
        <v>0</v>
      </c>
      <c r="F3" s="767">
        <f>C3+D3/2</f>
        <v>0</v>
      </c>
      <c r="G3" s="6"/>
      <c r="H3" s="6"/>
      <c r="I3" s="6"/>
      <c r="J3" s="6"/>
      <c r="K3" s="6"/>
      <c r="L3" s="6"/>
      <c r="M3" s="6"/>
      <c r="N3" s="6"/>
      <c r="O3" s="6"/>
      <c r="P3" s="6"/>
      <c r="Q3" s="6"/>
      <c r="U3" s="6"/>
      <c r="V3" s="6"/>
      <c r="W3" s="6"/>
      <c r="X3" s="6"/>
      <c r="Y3" s="6"/>
      <c r="Z3" s="6"/>
      <c r="AA3" s="6"/>
      <c r="AI3" s="6"/>
    </row>
    <row r="4" spans="1:47" ht="14" customHeight="1" x14ac:dyDescent="0.15">
      <c r="A4" s="84"/>
      <c r="B4" s="84" t="s">
        <v>21</v>
      </c>
      <c r="C4" s="765">
        <v>0</v>
      </c>
      <c r="D4" s="765">
        <v>0</v>
      </c>
      <c r="E4" s="764">
        <v>0</v>
      </c>
      <c r="F4" s="767">
        <f>C4+D4/2</f>
        <v>0</v>
      </c>
      <c r="G4" s="6"/>
      <c r="H4" s="6"/>
      <c r="I4" s="6"/>
      <c r="J4" s="6"/>
      <c r="K4" s="6"/>
      <c r="L4" s="6"/>
      <c r="M4" s="6"/>
      <c r="N4" s="6"/>
      <c r="O4" s="6"/>
      <c r="P4" s="6"/>
      <c r="Q4" s="6"/>
      <c r="U4" s="6"/>
      <c r="V4" s="6"/>
      <c r="W4" s="6"/>
      <c r="X4" s="6"/>
      <c r="Y4" s="6"/>
      <c r="Z4" s="6"/>
      <c r="AA4" s="6"/>
      <c r="AI4" s="6"/>
    </row>
    <row r="5" spans="1:47" ht="14" customHeight="1" x14ac:dyDescent="0.15">
      <c r="A5" s="86"/>
      <c r="B5" s="86" t="s">
        <v>22</v>
      </c>
      <c r="C5" s="765">
        <v>0</v>
      </c>
      <c r="D5" s="764">
        <v>0</v>
      </c>
      <c r="E5" s="764">
        <v>0</v>
      </c>
      <c r="F5" s="767">
        <f>C5+D5/2</f>
        <v>0</v>
      </c>
      <c r="G5" s="6"/>
      <c r="H5" s="6"/>
      <c r="I5" s="6"/>
      <c r="J5" s="6"/>
      <c r="K5" s="6"/>
      <c r="L5" s="6"/>
      <c r="M5" s="6"/>
      <c r="N5" s="6"/>
      <c r="O5" s="6"/>
      <c r="P5" s="6"/>
      <c r="Q5" s="6"/>
      <c r="U5" s="6"/>
      <c r="V5" s="6"/>
      <c r="W5" s="6"/>
      <c r="X5" s="6"/>
      <c r="Y5" s="6"/>
      <c r="Z5" s="6"/>
      <c r="AA5" s="6"/>
      <c r="AI5" s="6"/>
    </row>
    <row r="6" spans="1:47" ht="14" customHeight="1" x14ac:dyDescent="0.15">
      <c r="A6" s="8"/>
      <c r="B6" s="8" t="s">
        <v>28</v>
      </c>
      <c r="C6" s="766">
        <f>SUM(C3:C5)</f>
        <v>0</v>
      </c>
      <c r="D6" s="766">
        <f>SUM(D3:D5)/2</f>
        <v>0</v>
      </c>
      <c r="E6" s="766">
        <f>SUM(E3:E5)*0</f>
        <v>0</v>
      </c>
      <c r="F6" s="766">
        <f>SUM(F3:F5)</f>
        <v>0</v>
      </c>
      <c r="G6" s="6"/>
      <c r="H6" s="6"/>
      <c r="I6" s="6"/>
      <c r="J6" s="6"/>
      <c r="K6" s="6"/>
      <c r="L6" s="6"/>
      <c r="M6" s="6"/>
      <c r="N6" s="6"/>
      <c r="O6" s="6"/>
      <c r="P6" s="6"/>
      <c r="Q6" s="6"/>
      <c r="U6" s="6"/>
      <c r="V6" s="6"/>
      <c r="W6" s="6"/>
      <c r="X6" s="6"/>
      <c r="Y6" s="6"/>
      <c r="Z6" s="6"/>
      <c r="AA6" s="6"/>
      <c r="AI6" s="6"/>
    </row>
    <row r="7" spans="1:47" ht="14" customHeight="1" x14ac:dyDescent="0.15">
      <c r="C7" s="5"/>
      <c r="D7" s="5"/>
      <c r="E7" s="5"/>
      <c r="F7" s="6"/>
      <c r="G7" s="5"/>
      <c r="H7" s="6"/>
      <c r="I7" s="6"/>
      <c r="J7" s="6"/>
      <c r="K7" s="6"/>
      <c r="L7" s="6"/>
      <c r="M7" s="6"/>
      <c r="N7" s="6"/>
      <c r="O7" s="6"/>
      <c r="P7" s="6"/>
      <c r="Q7" s="6"/>
      <c r="U7" s="6"/>
      <c r="V7" s="6"/>
      <c r="W7" s="6"/>
      <c r="X7" s="6"/>
      <c r="Y7" s="6"/>
      <c r="Z7" s="6"/>
      <c r="AA7" s="6"/>
      <c r="AI7" s="6"/>
    </row>
    <row r="8" spans="1:47" s="24" customFormat="1" ht="16" customHeight="1" thickBot="1" x14ac:dyDescent="0.25">
      <c r="A8" s="36" t="s">
        <v>152</v>
      </c>
      <c r="B8" s="36"/>
      <c r="C8" s="75"/>
      <c r="D8" s="75"/>
      <c r="E8" s="75"/>
      <c r="F8" s="75"/>
      <c r="G8" s="75"/>
      <c r="H8" s="75"/>
      <c r="I8" s="75"/>
      <c r="J8" s="75"/>
      <c r="K8" s="75"/>
      <c r="L8" s="75"/>
      <c r="M8" s="75"/>
      <c r="N8" s="75"/>
      <c r="O8" s="75"/>
      <c r="P8" s="75"/>
      <c r="Q8" s="75"/>
      <c r="R8" s="2"/>
      <c r="S8" s="2"/>
      <c r="T8" s="2"/>
      <c r="U8" s="2"/>
      <c r="V8" s="543"/>
      <c r="W8" s="543"/>
      <c r="X8" s="544" t="s">
        <v>514</v>
      </c>
      <c r="Y8" s="2"/>
      <c r="Z8" s="2"/>
      <c r="AB8" s="713"/>
      <c r="AC8" s="713"/>
      <c r="AD8" s="713"/>
      <c r="AE8" s="713"/>
      <c r="AF8" s="713"/>
      <c r="AG8" s="713"/>
      <c r="AH8" s="713"/>
      <c r="AJ8" s="713"/>
      <c r="AK8" s="713"/>
      <c r="AL8" s="713"/>
      <c r="AM8" s="713"/>
      <c r="AN8" s="713"/>
      <c r="AO8" s="713"/>
      <c r="AP8" s="713"/>
      <c r="AQ8" s="713"/>
      <c r="AR8" s="713"/>
      <c r="AS8" s="713"/>
      <c r="AT8" s="713"/>
    </row>
    <row r="9" spans="1:47" s="26" customFormat="1" ht="54" customHeight="1" thickBot="1" x14ac:dyDescent="0.2">
      <c r="A9" s="1454" t="s">
        <v>51</v>
      </c>
      <c r="B9" s="1455"/>
      <c r="C9" s="554" t="s">
        <v>90</v>
      </c>
      <c r="D9" s="554" t="s">
        <v>91</v>
      </c>
      <c r="E9" s="555" t="s">
        <v>151</v>
      </c>
      <c r="F9" s="556" t="s">
        <v>425</v>
      </c>
      <c r="G9" s="152" t="s">
        <v>60</v>
      </c>
      <c r="H9" s="153" t="s">
        <v>94</v>
      </c>
      <c r="I9" s="154" t="s">
        <v>95</v>
      </c>
      <c r="J9" s="153" t="s">
        <v>96</v>
      </c>
      <c r="K9" s="154" t="s">
        <v>97</v>
      </c>
      <c r="L9" s="155" t="s">
        <v>93</v>
      </c>
      <c r="M9" s="157" t="s">
        <v>98</v>
      </c>
      <c r="N9" s="533" t="s">
        <v>61</v>
      </c>
      <c r="O9" s="533" t="s">
        <v>62</v>
      </c>
      <c r="P9" s="534" t="s">
        <v>424</v>
      </c>
      <c r="Q9" s="156" t="s">
        <v>423</v>
      </c>
      <c r="R9" s="264" t="s">
        <v>38</v>
      </c>
      <c r="S9" s="22"/>
      <c r="T9" s="22"/>
      <c r="U9" s="22"/>
      <c r="V9" s="545"/>
      <c r="W9" s="545"/>
      <c r="X9" s="546" t="s">
        <v>431</v>
      </c>
      <c r="Y9" s="710" t="s">
        <v>496</v>
      </c>
      <c r="Z9" s="710" t="s">
        <v>495</v>
      </c>
      <c r="AA9" s="710" t="s">
        <v>502</v>
      </c>
      <c r="AB9" s="710" t="s">
        <v>505</v>
      </c>
      <c r="AC9" s="710" t="s">
        <v>506</v>
      </c>
      <c r="AD9" s="710" t="s">
        <v>498</v>
      </c>
      <c r="AE9" s="710" t="s">
        <v>504</v>
      </c>
      <c r="AF9" s="710" t="s">
        <v>515</v>
      </c>
      <c r="AG9" s="710" t="s">
        <v>497</v>
      </c>
      <c r="AH9" s="710" t="s">
        <v>503</v>
      </c>
      <c r="AI9" s="710" t="s">
        <v>517</v>
      </c>
      <c r="AJ9" s="710" t="s">
        <v>516</v>
      </c>
      <c r="AK9" s="710" t="s">
        <v>518</v>
      </c>
      <c r="AL9" s="710" t="s">
        <v>513</v>
      </c>
      <c r="AM9" s="714" t="s">
        <v>186</v>
      </c>
      <c r="AN9" s="710"/>
      <c r="AO9" s="710" t="s">
        <v>499</v>
      </c>
      <c r="AP9" s="710" t="s">
        <v>500</v>
      </c>
      <c r="AQ9" s="710" t="s">
        <v>501</v>
      </c>
      <c r="AR9" s="710" t="s">
        <v>499</v>
      </c>
      <c r="AS9" s="710" t="s">
        <v>500</v>
      </c>
      <c r="AT9" s="710" t="s">
        <v>501</v>
      </c>
      <c r="AU9" s="717" t="s">
        <v>422</v>
      </c>
    </row>
    <row r="10" spans="1:47" s="545" customFormat="1" ht="14" customHeight="1" x14ac:dyDescent="0.15">
      <c r="A10" s="557"/>
      <c r="B10" s="558" t="str">
        <f>C9</f>
        <v>Environmental reservation</v>
      </c>
      <c r="C10" s="818">
        <f>C60*10000</f>
        <v>0</v>
      </c>
      <c r="D10" s="817"/>
      <c r="E10" s="817"/>
      <c r="F10" s="769">
        <f>SUM(C10:E10)</f>
        <v>0</v>
      </c>
      <c r="G10" s="618"/>
      <c r="H10" s="618"/>
      <c r="I10" s="618"/>
      <c r="J10" s="618"/>
      <c r="K10" s="618"/>
      <c r="L10" s="618"/>
      <c r="M10" s="618"/>
      <c r="N10" s="618"/>
      <c r="O10" s="618"/>
      <c r="P10" s="618"/>
      <c r="Q10" s="805">
        <f>F10</f>
        <v>0</v>
      </c>
      <c r="R10" s="158" t="e">
        <f>Q10/Q37</f>
        <v>#DIV/0!</v>
      </c>
      <c r="Y10" s="715"/>
      <c r="Z10" s="715"/>
      <c r="AA10" s="715"/>
      <c r="AB10" s="715"/>
      <c r="AC10" s="715"/>
      <c r="AD10" s="715"/>
      <c r="AE10" s="715"/>
      <c r="AF10" s="715"/>
      <c r="AG10" s="715"/>
      <c r="AH10" s="715"/>
      <c r="AJ10" s="715"/>
      <c r="AK10" s="715"/>
      <c r="AL10" s="715"/>
      <c r="AM10" s="715"/>
      <c r="AN10" s="715"/>
      <c r="AO10" s="715"/>
      <c r="AP10" s="715"/>
      <c r="AQ10" s="715"/>
      <c r="AU10" s="715"/>
    </row>
    <row r="11" spans="1:47" s="545" customFormat="1" ht="14" customHeight="1" x14ac:dyDescent="0.15">
      <c r="A11" s="557"/>
      <c r="B11" s="558" t="str">
        <f>D9</f>
        <v>Social reservation</v>
      </c>
      <c r="C11" s="817"/>
      <c r="D11" s="818">
        <f>D60*10000</f>
        <v>0</v>
      </c>
      <c r="E11" s="817"/>
      <c r="F11" s="769">
        <f>SUM(C11:E11)</f>
        <v>0</v>
      </c>
      <c r="G11" s="618"/>
      <c r="H11" s="618"/>
      <c r="I11" s="618"/>
      <c r="J11" s="618"/>
      <c r="K11" s="618"/>
      <c r="L11" s="618"/>
      <c r="M11" s="618"/>
      <c r="N11" s="618"/>
      <c r="O11" s="618"/>
      <c r="P11" s="618"/>
      <c r="Q11" s="805">
        <f>F11</f>
        <v>0</v>
      </c>
      <c r="R11" s="158" t="e">
        <f>Q11/Q37</f>
        <v>#DIV/0!</v>
      </c>
      <c r="Y11" s="715"/>
      <c r="Z11" s="715"/>
      <c r="AA11" s="715"/>
      <c r="AB11" s="715"/>
      <c r="AC11" s="715"/>
      <c r="AD11" s="715"/>
      <c r="AE11" s="715"/>
      <c r="AF11" s="715"/>
      <c r="AG11" s="715"/>
      <c r="AH11" s="715"/>
      <c r="AJ11" s="715"/>
      <c r="AK11" s="715"/>
      <c r="AL11" s="715"/>
      <c r="AM11" s="715"/>
      <c r="AN11" s="715"/>
      <c r="AO11" s="715"/>
      <c r="AP11" s="715"/>
      <c r="AQ11" s="715"/>
      <c r="AU11" s="715"/>
    </row>
    <row r="12" spans="1:47" s="545" customFormat="1" ht="14" customHeight="1" x14ac:dyDescent="0.15">
      <c r="A12" s="557"/>
      <c r="B12" s="558" t="str">
        <f>E9</f>
        <v>Other non-developable area</v>
      </c>
      <c r="C12" s="817"/>
      <c r="D12" s="817"/>
      <c r="E12" s="768">
        <v>0</v>
      </c>
      <c r="F12" s="769">
        <f>SUM(C12:E12)</f>
        <v>0</v>
      </c>
      <c r="G12" s="618"/>
      <c r="H12" s="618"/>
      <c r="I12" s="618"/>
      <c r="J12" s="618"/>
      <c r="K12" s="618"/>
      <c r="L12" s="618"/>
      <c r="M12" s="618"/>
      <c r="N12" s="618"/>
      <c r="O12" s="618"/>
      <c r="P12" s="618"/>
      <c r="Q12" s="805">
        <f>F12</f>
        <v>0</v>
      </c>
      <c r="R12" s="158" t="e">
        <f>Q12/Q37</f>
        <v>#DIV/0!</v>
      </c>
      <c r="Y12" s="715"/>
      <c r="Z12" s="715"/>
      <c r="AA12" s="715"/>
      <c r="AB12" s="715"/>
      <c r="AC12" s="715"/>
      <c r="AD12" s="715"/>
      <c r="AE12" s="715"/>
      <c r="AF12" s="715"/>
      <c r="AG12" s="715"/>
      <c r="AH12" s="715"/>
      <c r="AJ12" s="715"/>
      <c r="AK12" s="715"/>
      <c r="AL12" s="715"/>
      <c r="AM12" s="715"/>
      <c r="AN12" s="715"/>
      <c r="AO12" s="715"/>
      <c r="AP12" s="715"/>
      <c r="AQ12" s="715"/>
      <c r="AU12" s="715"/>
    </row>
    <row r="13" spans="1:47" s="545" customFormat="1" ht="14" customHeight="1" x14ac:dyDescent="0.15">
      <c r="A13" s="559"/>
      <c r="B13" s="560" t="s">
        <v>92</v>
      </c>
      <c r="C13" s="770">
        <f>C10</f>
        <v>0</v>
      </c>
      <c r="D13" s="770">
        <f>D11</f>
        <v>0</v>
      </c>
      <c r="E13" s="771">
        <f>E12</f>
        <v>0</v>
      </c>
      <c r="F13" s="772">
        <f>SUM(F10:F12)</f>
        <v>0</v>
      </c>
      <c r="G13" s="618"/>
      <c r="H13" s="618"/>
      <c r="I13" s="618"/>
      <c r="J13" s="618"/>
      <c r="K13" s="618"/>
      <c r="L13" s="618"/>
      <c r="M13" s="618"/>
      <c r="N13" s="618"/>
      <c r="O13" s="618"/>
      <c r="P13" s="618"/>
      <c r="Q13" s="812">
        <f>SUM(Q10:Q12)</f>
        <v>0</v>
      </c>
      <c r="R13" s="263" t="e">
        <f>Q13/Q37</f>
        <v>#DIV/0!</v>
      </c>
      <c r="Y13" s="715"/>
      <c r="Z13" s="715"/>
      <c r="AA13" s="715"/>
      <c r="AB13" s="715"/>
      <c r="AC13" s="715"/>
      <c r="AD13" s="715"/>
      <c r="AE13" s="715"/>
      <c r="AF13" s="715"/>
      <c r="AG13" s="715"/>
      <c r="AH13" s="715"/>
      <c r="AJ13" s="715"/>
      <c r="AK13" s="715"/>
      <c r="AL13" s="715"/>
      <c r="AM13" s="715"/>
      <c r="AN13" s="715"/>
      <c r="AO13" s="715"/>
      <c r="AP13" s="715"/>
      <c r="AQ13" s="715"/>
      <c r="AU13" s="715"/>
    </row>
    <row r="14" spans="1:47" s="545" customFormat="1" ht="14" customHeight="1" x14ac:dyDescent="0.15">
      <c r="A14" s="561"/>
      <c r="B14" s="562" t="s">
        <v>12</v>
      </c>
      <c r="C14" s="563"/>
      <c r="D14" s="563"/>
      <c r="E14" s="563"/>
      <c r="F14" s="563"/>
      <c r="G14" s="563"/>
      <c r="H14" s="768">
        <v>0</v>
      </c>
      <c r="I14" s="768">
        <v>0</v>
      </c>
      <c r="J14" s="768">
        <v>0</v>
      </c>
      <c r="K14" s="768">
        <v>0</v>
      </c>
      <c r="L14" s="777">
        <v>0</v>
      </c>
      <c r="M14" s="777">
        <v>0</v>
      </c>
      <c r="N14" s="778">
        <f>SUM(G14:M14)</f>
        <v>0</v>
      </c>
      <c r="O14" s="779">
        <v>0</v>
      </c>
      <c r="P14" s="780">
        <f>SUM(N14:O14)</f>
        <v>0</v>
      </c>
      <c r="Q14" s="805">
        <f>P14</f>
        <v>0</v>
      </c>
      <c r="R14" s="158" t="e">
        <f>Q14/Q37</f>
        <v>#DIV/0!</v>
      </c>
      <c r="T14" s="561"/>
      <c r="U14" s="562" t="s">
        <v>12</v>
      </c>
      <c r="X14" s="547">
        <v>0</v>
      </c>
      <c r="Y14" s="720">
        <f>Y17</f>
        <v>0</v>
      </c>
      <c r="Z14" s="720">
        <f>Y17</f>
        <v>0</v>
      </c>
      <c r="AA14" s="722">
        <f>Z14*Y14</f>
        <v>0</v>
      </c>
      <c r="AB14" s="720">
        <f>AB17</f>
        <v>0</v>
      </c>
      <c r="AC14" s="720">
        <f>AC17</f>
        <v>0</v>
      </c>
      <c r="AD14" s="720">
        <f>Y14-AB14-AC14</f>
        <v>0</v>
      </c>
      <c r="AE14" s="720">
        <f>AE17</f>
        <v>0</v>
      </c>
      <c r="AF14" s="720">
        <f>AE17</f>
        <v>0</v>
      </c>
      <c r="AG14" s="720">
        <f>Z14-AE14-AF14</f>
        <v>0</v>
      </c>
      <c r="AH14" s="722">
        <f>AG14*AD14</f>
        <v>0</v>
      </c>
      <c r="AI14" s="736"/>
      <c r="AJ14" s="716">
        <v>0</v>
      </c>
      <c r="AK14" s="739">
        <f>ROUND(AI17*(1+AJ14),0)</f>
        <v>0</v>
      </c>
      <c r="AL14" s="722">
        <f>AG14*AD14*AK14</f>
        <v>0</v>
      </c>
      <c r="AM14" s="852">
        <f t="shared" ref="AM14:AM30" si="0">IF(AA14=0,0,AL14/AA14)</f>
        <v>0</v>
      </c>
      <c r="AN14" s="715"/>
      <c r="AO14" s="716">
        <v>0</v>
      </c>
      <c r="AP14" s="716">
        <v>0</v>
      </c>
      <c r="AQ14" s="716">
        <v>0</v>
      </c>
      <c r="AR14" s="720">
        <f>AO14*AG14</f>
        <v>0</v>
      </c>
      <c r="AS14" s="720">
        <f>AP14*AD14</f>
        <v>0</v>
      </c>
      <c r="AT14" s="739">
        <f>ROUND(AQ14*AK14,0)</f>
        <v>0</v>
      </c>
      <c r="AU14" s="718">
        <f>AL14*AP14*AQ14</f>
        <v>0</v>
      </c>
    </row>
    <row r="15" spans="1:47" s="545" customFormat="1" ht="14" customHeight="1" x14ac:dyDescent="0.15">
      <c r="A15" s="564"/>
      <c r="B15" s="565" t="s">
        <v>13</v>
      </c>
      <c r="C15" s="563"/>
      <c r="D15" s="563"/>
      <c r="E15" s="563"/>
      <c r="F15" s="563"/>
      <c r="G15" s="563"/>
      <c r="H15" s="768">
        <v>0</v>
      </c>
      <c r="I15" s="768">
        <v>0</v>
      </c>
      <c r="J15" s="768">
        <v>0</v>
      </c>
      <c r="K15" s="768">
        <v>0</v>
      </c>
      <c r="L15" s="777">
        <v>0</v>
      </c>
      <c r="M15" s="777">
        <v>0</v>
      </c>
      <c r="N15" s="778">
        <f>SUM(G15:M15)</f>
        <v>0</v>
      </c>
      <c r="O15" s="779">
        <v>0</v>
      </c>
      <c r="P15" s="780">
        <f t="shared" ref="P15:P30" si="1">SUM(N15:O15)</f>
        <v>0</v>
      </c>
      <c r="Q15" s="805">
        <f>P15</f>
        <v>0</v>
      </c>
      <c r="R15" s="158" t="e">
        <f>Q15/Q37</f>
        <v>#DIV/0!</v>
      </c>
      <c r="T15" s="564"/>
      <c r="U15" s="565" t="s">
        <v>13</v>
      </c>
      <c r="X15" s="547">
        <v>0</v>
      </c>
      <c r="Y15" s="720">
        <f>Y17</f>
        <v>0</v>
      </c>
      <c r="Z15" s="720">
        <f>Y21</f>
        <v>0</v>
      </c>
      <c r="AA15" s="722">
        <f>Z15*Y15</f>
        <v>0</v>
      </c>
      <c r="AB15" s="720">
        <f>AB17</f>
        <v>0</v>
      </c>
      <c r="AC15" s="720">
        <f>AC17</f>
        <v>0</v>
      </c>
      <c r="AD15" s="720">
        <f>Y15-AB15-AC15</f>
        <v>0</v>
      </c>
      <c r="AE15" s="720">
        <f>AE17</f>
        <v>0</v>
      </c>
      <c r="AF15" s="720">
        <f>AE21</f>
        <v>0</v>
      </c>
      <c r="AG15" s="720">
        <f>Z15-AE15-AF15</f>
        <v>0</v>
      </c>
      <c r="AH15" s="722">
        <f>AG15*AD15</f>
        <v>0</v>
      </c>
      <c r="AI15" s="736"/>
      <c r="AJ15" s="716">
        <v>0</v>
      </c>
      <c r="AK15" s="739">
        <f>ROUND(AI17*(1+AJ15),0)</f>
        <v>0</v>
      </c>
      <c r="AL15" s="722">
        <f>AG15*AD15*AK15</f>
        <v>0</v>
      </c>
      <c r="AM15" s="852">
        <f t="shared" si="0"/>
        <v>0</v>
      </c>
      <c r="AN15" s="715"/>
      <c r="AO15" s="716">
        <v>0</v>
      </c>
      <c r="AP15" s="716">
        <v>0</v>
      </c>
      <c r="AQ15" s="716">
        <v>0</v>
      </c>
      <c r="AR15" s="720">
        <f t="shared" ref="AR15:AR30" si="2">AO15*AG15</f>
        <v>0</v>
      </c>
      <c r="AS15" s="720">
        <f t="shared" ref="AS15:AS30" si="3">AP15*AD15</f>
        <v>0</v>
      </c>
      <c r="AT15" s="739">
        <f t="shared" ref="AT15:AT30" si="4">ROUND(AQ15*AK15,0)</f>
        <v>0</v>
      </c>
      <c r="AU15" s="718">
        <f>AL15*AP15*AQ15</f>
        <v>0</v>
      </c>
    </row>
    <row r="16" spans="1:47" s="545" customFormat="1" ht="14" customHeight="1" x14ac:dyDescent="0.15">
      <c r="A16" s="566"/>
      <c r="B16" s="567" t="s">
        <v>11</v>
      </c>
      <c r="C16" s="563"/>
      <c r="D16" s="563"/>
      <c r="E16" s="563"/>
      <c r="F16" s="563"/>
      <c r="G16" s="563"/>
      <c r="H16" s="768">
        <v>0</v>
      </c>
      <c r="I16" s="768">
        <v>0</v>
      </c>
      <c r="J16" s="768">
        <v>0</v>
      </c>
      <c r="K16" s="768">
        <v>0</v>
      </c>
      <c r="L16" s="777">
        <v>0</v>
      </c>
      <c r="M16" s="777">
        <v>0</v>
      </c>
      <c r="N16" s="778">
        <f>SUM(G16:M16)</f>
        <v>0</v>
      </c>
      <c r="O16" s="779">
        <v>0</v>
      </c>
      <c r="P16" s="780">
        <f t="shared" si="1"/>
        <v>0</v>
      </c>
      <c r="Q16" s="805">
        <f>P16</f>
        <v>0</v>
      </c>
      <c r="R16" s="158" t="e">
        <f>Q16/Q37</f>
        <v>#DIV/0!</v>
      </c>
      <c r="T16" s="566"/>
      <c r="U16" s="567" t="s">
        <v>11</v>
      </c>
      <c r="X16" s="547">
        <v>0</v>
      </c>
      <c r="Y16" s="720">
        <f>Y17</f>
        <v>0</v>
      </c>
      <c r="Z16" s="720">
        <f>Y24</f>
        <v>0</v>
      </c>
      <c r="AA16" s="722">
        <f>Z16*Y16</f>
        <v>0</v>
      </c>
      <c r="AB16" s="720">
        <f>AB17</f>
        <v>0</v>
      </c>
      <c r="AC16" s="720">
        <f>AC17</f>
        <v>0</v>
      </c>
      <c r="AD16" s="720">
        <f>Y16-AB16-AC16</f>
        <v>0</v>
      </c>
      <c r="AE16" s="720">
        <f>AE17</f>
        <v>0</v>
      </c>
      <c r="AF16" s="720">
        <f>AE24</f>
        <v>0</v>
      </c>
      <c r="AG16" s="720">
        <f>Z16-AE16-AF16</f>
        <v>0</v>
      </c>
      <c r="AH16" s="722">
        <f>AG16*AD16</f>
        <v>0</v>
      </c>
      <c r="AI16" s="736"/>
      <c r="AJ16" s="716">
        <v>0</v>
      </c>
      <c r="AK16" s="739">
        <f>ROUND(AI17*(1+AJ16),0)</f>
        <v>0</v>
      </c>
      <c r="AL16" s="722">
        <f>AG16*AD16*AK16</f>
        <v>0</v>
      </c>
      <c r="AM16" s="852">
        <f t="shared" si="0"/>
        <v>0</v>
      </c>
      <c r="AN16" s="715"/>
      <c r="AO16" s="716">
        <v>0</v>
      </c>
      <c r="AP16" s="716">
        <v>0</v>
      </c>
      <c r="AQ16" s="716">
        <v>0</v>
      </c>
      <c r="AR16" s="720">
        <f t="shared" si="2"/>
        <v>0</v>
      </c>
      <c r="AS16" s="720">
        <f t="shared" si="3"/>
        <v>0</v>
      </c>
      <c r="AT16" s="739">
        <f t="shared" si="4"/>
        <v>0</v>
      </c>
      <c r="AU16" s="718">
        <f>AL16*AP16*AQ16</f>
        <v>0</v>
      </c>
    </row>
    <row r="17" spans="1:47" s="545" customFormat="1" ht="14" customHeight="1" x14ac:dyDescent="0.15">
      <c r="A17" s="568"/>
      <c r="B17" s="569" t="s">
        <v>10</v>
      </c>
      <c r="C17" s="563"/>
      <c r="D17" s="563"/>
      <c r="E17" s="563"/>
      <c r="F17" s="563"/>
      <c r="G17" s="563"/>
      <c r="H17" s="768">
        <v>0</v>
      </c>
      <c r="I17" s="768">
        <v>0</v>
      </c>
      <c r="J17" s="768">
        <v>0</v>
      </c>
      <c r="K17" s="768">
        <v>0</v>
      </c>
      <c r="L17" s="777">
        <v>0</v>
      </c>
      <c r="M17" s="777">
        <v>0</v>
      </c>
      <c r="N17" s="778">
        <f>SUM(G17:M17)</f>
        <v>0</v>
      </c>
      <c r="O17" s="779">
        <v>0</v>
      </c>
      <c r="P17" s="780">
        <f t="shared" si="1"/>
        <v>0</v>
      </c>
      <c r="Q17" s="805">
        <f>P17</f>
        <v>0</v>
      </c>
      <c r="R17" s="158" t="e">
        <f>Q17/Q37</f>
        <v>#DIV/0!</v>
      </c>
      <c r="T17" s="568"/>
      <c r="U17" s="569" t="s">
        <v>10</v>
      </c>
      <c r="X17" s="547">
        <v>0</v>
      </c>
      <c r="Y17" s="721">
        <v>0</v>
      </c>
      <c r="Z17" s="721">
        <v>0</v>
      </c>
      <c r="AA17" s="722">
        <f>Z17*Y17</f>
        <v>0</v>
      </c>
      <c r="AB17" s="721">
        <v>0</v>
      </c>
      <c r="AC17" s="721">
        <v>0</v>
      </c>
      <c r="AD17" s="720">
        <f>Y17-AB17-AC17</f>
        <v>0</v>
      </c>
      <c r="AE17" s="721">
        <v>0</v>
      </c>
      <c r="AF17" s="720">
        <f>AE17</f>
        <v>0</v>
      </c>
      <c r="AG17" s="720">
        <f>Z17-AE17-AF17</f>
        <v>0</v>
      </c>
      <c r="AH17" s="722">
        <f>AG17*AD17</f>
        <v>0</v>
      </c>
      <c r="AI17" s="737">
        <v>0</v>
      </c>
      <c r="AJ17" s="719">
        <v>0</v>
      </c>
      <c r="AK17" s="739">
        <f>ROUND(AI17*(1+AJ17),0)</f>
        <v>0</v>
      </c>
      <c r="AL17" s="722">
        <f>AG17*AD17*AK17</f>
        <v>0</v>
      </c>
      <c r="AM17" s="852">
        <f t="shared" si="0"/>
        <v>0</v>
      </c>
      <c r="AN17" s="715"/>
      <c r="AO17" s="716">
        <v>0</v>
      </c>
      <c r="AP17" s="716">
        <v>0</v>
      </c>
      <c r="AQ17" s="716">
        <v>0</v>
      </c>
      <c r="AR17" s="720">
        <f t="shared" si="2"/>
        <v>0</v>
      </c>
      <c r="AS17" s="720">
        <f t="shared" si="3"/>
        <v>0</v>
      </c>
      <c r="AT17" s="739">
        <f t="shared" si="4"/>
        <v>0</v>
      </c>
      <c r="AU17" s="718">
        <f>AL17*AP17*AQ17</f>
        <v>0</v>
      </c>
    </row>
    <row r="18" spans="1:47" s="549" customFormat="1" ht="14" customHeight="1" x14ac:dyDescent="0.15">
      <c r="A18" s="1456" t="s">
        <v>39</v>
      </c>
      <c r="B18" s="1457"/>
      <c r="C18" s="563"/>
      <c r="D18" s="563"/>
      <c r="E18" s="563"/>
      <c r="F18" s="563">
        <f>SUM(F14:F17)</f>
        <v>0</v>
      </c>
      <c r="G18" s="563"/>
      <c r="H18" s="781">
        <f t="shared" ref="H18:Q18" si="5">SUM(H14:H17)</f>
        <v>0</v>
      </c>
      <c r="I18" s="781">
        <f t="shared" si="5"/>
        <v>0</v>
      </c>
      <c r="J18" s="781">
        <f t="shared" si="5"/>
        <v>0</v>
      </c>
      <c r="K18" s="781">
        <f t="shared" si="5"/>
        <v>0</v>
      </c>
      <c r="L18" s="781">
        <f t="shared" si="5"/>
        <v>0</v>
      </c>
      <c r="M18" s="782">
        <f t="shared" si="5"/>
        <v>0</v>
      </c>
      <c r="N18" s="783">
        <f t="shared" si="5"/>
        <v>0</v>
      </c>
      <c r="O18" s="783">
        <f t="shared" si="5"/>
        <v>0</v>
      </c>
      <c r="P18" s="886">
        <f t="shared" si="5"/>
        <v>0</v>
      </c>
      <c r="Q18" s="806">
        <f t="shared" si="5"/>
        <v>0</v>
      </c>
      <c r="R18" s="263" t="e">
        <f>Q18/Q37</f>
        <v>#DIV/0!</v>
      </c>
      <c r="T18" s="1456" t="s">
        <v>432</v>
      </c>
      <c r="U18" s="1457"/>
      <c r="X18" s="891">
        <f>C45*2</f>
        <v>0</v>
      </c>
      <c r="Y18" s="720">
        <f t="shared" ref="Y18:AH18" si="6">Y17</f>
        <v>0</v>
      </c>
      <c r="Z18" s="720">
        <f t="shared" si="6"/>
        <v>0</v>
      </c>
      <c r="AA18" s="722">
        <f t="shared" si="6"/>
        <v>0</v>
      </c>
      <c r="AB18" s="720">
        <f t="shared" si="6"/>
        <v>0</v>
      </c>
      <c r="AC18" s="720">
        <f t="shared" si="6"/>
        <v>0</v>
      </c>
      <c r="AD18" s="720">
        <f t="shared" si="6"/>
        <v>0</v>
      </c>
      <c r="AE18" s="720">
        <f t="shared" si="6"/>
        <v>0</v>
      </c>
      <c r="AF18" s="720">
        <f t="shared" si="6"/>
        <v>0</v>
      </c>
      <c r="AG18" s="720">
        <f t="shared" si="6"/>
        <v>0</v>
      </c>
      <c r="AH18" s="722">
        <f t="shared" si="6"/>
        <v>0</v>
      </c>
      <c r="AI18" s="739"/>
      <c r="AJ18" s="719"/>
      <c r="AK18" s="739">
        <f>AK17</f>
        <v>0</v>
      </c>
      <c r="AL18" s="722">
        <f>AL17</f>
        <v>0</v>
      </c>
      <c r="AM18" s="853">
        <f t="shared" si="0"/>
        <v>0</v>
      </c>
      <c r="AN18" s="715"/>
      <c r="AO18" s="719">
        <f>AO17</f>
        <v>0</v>
      </c>
      <c r="AP18" s="719">
        <f>AP17</f>
        <v>0</v>
      </c>
      <c r="AQ18" s="719">
        <f>AQ17</f>
        <v>0</v>
      </c>
      <c r="AR18" s="720">
        <f t="shared" si="2"/>
        <v>0</v>
      </c>
      <c r="AS18" s="720">
        <f t="shared" si="3"/>
        <v>0</v>
      </c>
      <c r="AT18" s="739">
        <f t="shared" si="4"/>
        <v>0</v>
      </c>
      <c r="AU18" s="718">
        <f>AU17</f>
        <v>0</v>
      </c>
    </row>
    <row r="19" spans="1:47" s="545" customFormat="1" ht="14" customHeight="1" x14ac:dyDescent="0.15">
      <c r="A19" s="570"/>
      <c r="B19" s="571" t="s">
        <v>14</v>
      </c>
      <c r="C19" s="563"/>
      <c r="D19" s="563"/>
      <c r="E19" s="563"/>
      <c r="F19" s="563"/>
      <c r="G19" s="563"/>
      <c r="H19" s="768">
        <v>0</v>
      </c>
      <c r="I19" s="768">
        <v>0</v>
      </c>
      <c r="J19" s="768">
        <v>0</v>
      </c>
      <c r="K19" s="768">
        <v>0</v>
      </c>
      <c r="L19" s="777">
        <v>0</v>
      </c>
      <c r="M19" s="777">
        <v>0</v>
      </c>
      <c r="N19" s="778">
        <f>SUM(G19:M19)</f>
        <v>0</v>
      </c>
      <c r="O19" s="779">
        <v>0</v>
      </c>
      <c r="P19" s="780">
        <f t="shared" si="1"/>
        <v>0</v>
      </c>
      <c r="Q19" s="805">
        <f>P19</f>
        <v>0</v>
      </c>
      <c r="R19" s="158" t="e">
        <f>Q19/Q37</f>
        <v>#DIV/0!</v>
      </c>
      <c r="T19" s="570"/>
      <c r="U19" s="571" t="s">
        <v>14</v>
      </c>
      <c r="X19" s="723">
        <v>0</v>
      </c>
      <c r="Y19" s="724">
        <f>Y21</f>
        <v>0</v>
      </c>
      <c r="Z19" s="724">
        <f>Y21</f>
        <v>0</v>
      </c>
      <c r="AA19" s="725">
        <f>Z19*Y19</f>
        <v>0</v>
      </c>
      <c r="AB19" s="724">
        <f>AB21</f>
        <v>0</v>
      </c>
      <c r="AC19" s="724">
        <f>AC21</f>
        <v>0</v>
      </c>
      <c r="AD19" s="724">
        <f>Y19-AB19-AC19</f>
        <v>0</v>
      </c>
      <c r="AE19" s="724">
        <f>AE21</f>
        <v>0</v>
      </c>
      <c r="AF19" s="724">
        <f>AE21</f>
        <v>0</v>
      </c>
      <c r="AG19" s="724">
        <f>Z19-AE19-AF19</f>
        <v>0</v>
      </c>
      <c r="AH19" s="725">
        <f>AG19*AD19</f>
        <v>0</v>
      </c>
      <c r="AI19" s="738"/>
      <c r="AJ19" s="726">
        <f>AJ15</f>
        <v>0</v>
      </c>
      <c r="AK19" s="740">
        <f>ROUND(AI21*(1+AJ19),0)</f>
        <v>0</v>
      </c>
      <c r="AL19" s="725">
        <f>AG19*AD19*AK19</f>
        <v>0</v>
      </c>
      <c r="AM19" s="852">
        <f t="shared" si="0"/>
        <v>0</v>
      </c>
      <c r="AN19" s="727"/>
      <c r="AO19" s="728">
        <v>0</v>
      </c>
      <c r="AP19" s="728">
        <v>0</v>
      </c>
      <c r="AQ19" s="728">
        <v>0</v>
      </c>
      <c r="AR19" s="724">
        <f t="shared" si="2"/>
        <v>0</v>
      </c>
      <c r="AS19" s="724">
        <f t="shared" si="3"/>
        <v>0</v>
      </c>
      <c r="AT19" s="740">
        <f t="shared" si="4"/>
        <v>0</v>
      </c>
      <c r="AU19" s="729">
        <f>AL19*AP19*AQ19</f>
        <v>0</v>
      </c>
    </row>
    <row r="20" spans="1:47" s="545" customFormat="1" ht="14" customHeight="1" x14ac:dyDescent="0.15">
      <c r="A20" s="572"/>
      <c r="B20" s="573" t="s">
        <v>15</v>
      </c>
      <c r="C20" s="563"/>
      <c r="D20" s="563"/>
      <c r="E20" s="563"/>
      <c r="F20" s="563"/>
      <c r="G20" s="563"/>
      <c r="H20" s="768">
        <v>0</v>
      </c>
      <c r="I20" s="768">
        <v>0</v>
      </c>
      <c r="J20" s="768">
        <v>0</v>
      </c>
      <c r="K20" s="768">
        <v>0</v>
      </c>
      <c r="L20" s="777">
        <v>0</v>
      </c>
      <c r="M20" s="777">
        <v>0</v>
      </c>
      <c r="N20" s="778">
        <f>SUM(G20:M20)</f>
        <v>0</v>
      </c>
      <c r="O20" s="779">
        <v>0</v>
      </c>
      <c r="P20" s="780">
        <f t="shared" si="1"/>
        <v>0</v>
      </c>
      <c r="Q20" s="805">
        <f>P20</f>
        <v>0</v>
      </c>
      <c r="R20" s="158" t="e">
        <f>Q20/Q37</f>
        <v>#DIV/0!</v>
      </c>
      <c r="T20" s="572"/>
      <c r="U20" s="573" t="s">
        <v>15</v>
      </c>
      <c r="X20" s="547">
        <v>0</v>
      </c>
      <c r="Y20" s="720">
        <f>Y21</f>
        <v>0</v>
      </c>
      <c r="Z20" s="720">
        <f>Y24</f>
        <v>0</v>
      </c>
      <c r="AA20" s="722">
        <f>Z20*Y20</f>
        <v>0</v>
      </c>
      <c r="AB20" s="720">
        <f>AB21</f>
        <v>0</v>
      </c>
      <c r="AC20" s="720">
        <f>AC21</f>
        <v>0</v>
      </c>
      <c r="AD20" s="720">
        <f>Y20-AB20-AC20</f>
        <v>0</v>
      </c>
      <c r="AE20" s="720">
        <f>AE21</f>
        <v>0</v>
      </c>
      <c r="AF20" s="720">
        <f>AE24</f>
        <v>0</v>
      </c>
      <c r="AG20" s="720">
        <f>Z20-AE20-AF20</f>
        <v>0</v>
      </c>
      <c r="AH20" s="722">
        <f>AG20*AD20</f>
        <v>0</v>
      </c>
      <c r="AI20" s="736"/>
      <c r="AJ20" s="719">
        <f>AJ16</f>
        <v>0</v>
      </c>
      <c r="AK20" s="739">
        <f>ROUND(AI21*(1+AJ20),0)</f>
        <v>0</v>
      </c>
      <c r="AL20" s="722">
        <f>AG20*AD20*AK20</f>
        <v>0</v>
      </c>
      <c r="AM20" s="852">
        <f t="shared" si="0"/>
        <v>0</v>
      </c>
      <c r="AN20" s="715"/>
      <c r="AO20" s="716">
        <v>0</v>
      </c>
      <c r="AP20" s="716">
        <v>0</v>
      </c>
      <c r="AQ20" s="716">
        <v>0</v>
      </c>
      <c r="AR20" s="720">
        <f t="shared" si="2"/>
        <v>0</v>
      </c>
      <c r="AS20" s="720">
        <f t="shared" si="3"/>
        <v>0</v>
      </c>
      <c r="AT20" s="739">
        <f t="shared" si="4"/>
        <v>0</v>
      </c>
      <c r="AU20" s="718">
        <f>AL20*AP20*AQ20</f>
        <v>0</v>
      </c>
    </row>
    <row r="21" spans="1:47" s="545" customFormat="1" ht="14" customHeight="1" x14ac:dyDescent="0.15">
      <c r="A21" s="574"/>
      <c r="B21" s="575" t="s">
        <v>16</v>
      </c>
      <c r="C21" s="563"/>
      <c r="D21" s="563"/>
      <c r="E21" s="563"/>
      <c r="F21" s="563"/>
      <c r="G21" s="563"/>
      <c r="H21" s="768">
        <v>0</v>
      </c>
      <c r="I21" s="768">
        <v>0</v>
      </c>
      <c r="J21" s="768">
        <v>0</v>
      </c>
      <c r="K21" s="768">
        <v>0</v>
      </c>
      <c r="L21" s="777">
        <v>0</v>
      </c>
      <c r="M21" s="777">
        <v>0</v>
      </c>
      <c r="N21" s="778">
        <f>SUM(G21:M21)</f>
        <v>0</v>
      </c>
      <c r="O21" s="779">
        <v>0</v>
      </c>
      <c r="P21" s="780">
        <f t="shared" si="1"/>
        <v>0</v>
      </c>
      <c r="Q21" s="805">
        <f>P21</f>
        <v>0</v>
      </c>
      <c r="R21" s="158" t="e">
        <f>Q21/Q37</f>
        <v>#DIV/0!</v>
      </c>
      <c r="T21" s="574"/>
      <c r="U21" s="575" t="s">
        <v>16</v>
      </c>
      <c r="X21" s="547">
        <v>0</v>
      </c>
      <c r="Y21" s="721">
        <v>0</v>
      </c>
      <c r="Z21" s="721">
        <v>0</v>
      </c>
      <c r="AA21" s="722">
        <f>Z21*Y21</f>
        <v>0</v>
      </c>
      <c r="AB21" s="721">
        <v>0</v>
      </c>
      <c r="AC21" s="721">
        <v>0</v>
      </c>
      <c r="AD21" s="720">
        <f>Y21-AB21-AC21</f>
        <v>0</v>
      </c>
      <c r="AE21" s="721">
        <v>0</v>
      </c>
      <c r="AF21" s="720">
        <f>AE21</f>
        <v>0</v>
      </c>
      <c r="AG21" s="720">
        <f>Z21-AE21-AF21</f>
        <v>0</v>
      </c>
      <c r="AH21" s="722">
        <f>AG21*AD21</f>
        <v>0</v>
      </c>
      <c r="AI21" s="737">
        <v>0</v>
      </c>
      <c r="AJ21" s="719">
        <v>0</v>
      </c>
      <c r="AK21" s="739">
        <f>ROUND(AI21*(1+AJ21),0)</f>
        <v>0</v>
      </c>
      <c r="AL21" s="722">
        <f>AG21*AD21*AK21</f>
        <v>0</v>
      </c>
      <c r="AM21" s="852">
        <f t="shared" si="0"/>
        <v>0</v>
      </c>
      <c r="AN21" s="715"/>
      <c r="AO21" s="716">
        <v>0</v>
      </c>
      <c r="AP21" s="716">
        <v>0</v>
      </c>
      <c r="AQ21" s="716">
        <v>0</v>
      </c>
      <c r="AR21" s="720">
        <f t="shared" si="2"/>
        <v>0</v>
      </c>
      <c r="AS21" s="720">
        <f t="shared" si="3"/>
        <v>0</v>
      </c>
      <c r="AT21" s="739">
        <f t="shared" si="4"/>
        <v>0</v>
      </c>
      <c r="AU21" s="718">
        <f>AL21*AP21*AQ21</f>
        <v>0</v>
      </c>
    </row>
    <row r="22" spans="1:47" s="549" customFormat="1" ht="14" customHeight="1" x14ac:dyDescent="0.15">
      <c r="A22" s="576"/>
      <c r="B22" s="577" t="s">
        <v>40</v>
      </c>
      <c r="C22" s="563"/>
      <c r="D22" s="563"/>
      <c r="E22" s="563"/>
      <c r="F22" s="563">
        <f>SUM(F19:F21)</f>
        <v>0</v>
      </c>
      <c r="G22" s="563"/>
      <c r="H22" s="784">
        <f t="shared" ref="H22:Q22" si="7">SUM(H19:H21)</f>
        <v>0</v>
      </c>
      <c r="I22" s="784">
        <f t="shared" si="7"/>
        <v>0</v>
      </c>
      <c r="J22" s="784">
        <f t="shared" si="7"/>
        <v>0</v>
      </c>
      <c r="K22" s="784">
        <f t="shared" si="7"/>
        <v>0</v>
      </c>
      <c r="L22" s="784">
        <f t="shared" si="7"/>
        <v>0</v>
      </c>
      <c r="M22" s="785">
        <f t="shared" si="7"/>
        <v>0</v>
      </c>
      <c r="N22" s="786">
        <f t="shared" si="7"/>
        <v>0</v>
      </c>
      <c r="O22" s="786">
        <f t="shared" si="7"/>
        <v>0</v>
      </c>
      <c r="P22" s="887">
        <f t="shared" si="7"/>
        <v>0</v>
      </c>
      <c r="Q22" s="807">
        <f t="shared" si="7"/>
        <v>0</v>
      </c>
      <c r="R22" s="263" t="e">
        <f>Q22/Q37</f>
        <v>#DIV/0!</v>
      </c>
      <c r="T22" s="576"/>
      <c r="U22" s="577" t="s">
        <v>532</v>
      </c>
      <c r="X22" s="891">
        <f>C46*2</f>
        <v>0</v>
      </c>
      <c r="Y22" s="720">
        <f t="shared" ref="Y22:AH22" si="8">Y21</f>
        <v>0</v>
      </c>
      <c r="Z22" s="720">
        <f t="shared" si="8"/>
        <v>0</v>
      </c>
      <c r="AA22" s="722">
        <f t="shared" si="8"/>
        <v>0</v>
      </c>
      <c r="AB22" s="720">
        <f t="shared" si="8"/>
        <v>0</v>
      </c>
      <c r="AC22" s="720">
        <f t="shared" si="8"/>
        <v>0</v>
      </c>
      <c r="AD22" s="720">
        <f t="shared" si="8"/>
        <v>0</v>
      </c>
      <c r="AE22" s="720">
        <f t="shared" si="8"/>
        <v>0</v>
      </c>
      <c r="AF22" s="720">
        <f t="shared" si="8"/>
        <v>0</v>
      </c>
      <c r="AG22" s="720">
        <f t="shared" si="8"/>
        <v>0</v>
      </c>
      <c r="AH22" s="722">
        <f t="shared" si="8"/>
        <v>0</v>
      </c>
      <c r="AI22" s="739"/>
      <c r="AJ22" s="719"/>
      <c r="AK22" s="739">
        <f>AK21</f>
        <v>0</v>
      </c>
      <c r="AL22" s="722">
        <f>AL21</f>
        <v>0</v>
      </c>
      <c r="AM22" s="853">
        <f t="shared" si="0"/>
        <v>0</v>
      </c>
      <c r="AN22" s="715"/>
      <c r="AO22" s="719">
        <f>AO21</f>
        <v>0</v>
      </c>
      <c r="AP22" s="719">
        <f>AP21</f>
        <v>0</v>
      </c>
      <c r="AQ22" s="719">
        <f>AQ21</f>
        <v>0</v>
      </c>
      <c r="AR22" s="720">
        <f t="shared" si="2"/>
        <v>0</v>
      </c>
      <c r="AS22" s="720">
        <f t="shared" si="3"/>
        <v>0</v>
      </c>
      <c r="AT22" s="739">
        <f t="shared" si="4"/>
        <v>0</v>
      </c>
      <c r="AU22" s="718">
        <f>AU21</f>
        <v>0</v>
      </c>
    </row>
    <row r="23" spans="1:47" s="545" customFormat="1" ht="14" customHeight="1" x14ac:dyDescent="0.15">
      <c r="A23" s="578"/>
      <c r="B23" s="579" t="s">
        <v>17</v>
      </c>
      <c r="C23" s="563"/>
      <c r="D23" s="563"/>
      <c r="E23" s="563"/>
      <c r="F23" s="563"/>
      <c r="G23" s="563"/>
      <c r="H23" s="768">
        <v>0</v>
      </c>
      <c r="I23" s="768">
        <v>0</v>
      </c>
      <c r="J23" s="768">
        <v>0</v>
      </c>
      <c r="K23" s="768">
        <v>0</v>
      </c>
      <c r="L23" s="777">
        <v>0</v>
      </c>
      <c r="M23" s="777">
        <v>0</v>
      </c>
      <c r="N23" s="778">
        <f>SUM(G23:M23)</f>
        <v>0</v>
      </c>
      <c r="O23" s="779">
        <v>0</v>
      </c>
      <c r="P23" s="780">
        <f t="shared" si="1"/>
        <v>0</v>
      </c>
      <c r="Q23" s="805">
        <f>P23</f>
        <v>0</v>
      </c>
      <c r="R23" s="158" t="e">
        <f>Q23/Q37</f>
        <v>#DIV/0!</v>
      </c>
      <c r="T23" s="578"/>
      <c r="U23" s="579" t="s">
        <v>17</v>
      </c>
      <c r="X23" s="723">
        <v>0</v>
      </c>
      <c r="Y23" s="724">
        <f>Y24</f>
        <v>0</v>
      </c>
      <c r="Z23" s="724">
        <f>Y24</f>
        <v>0</v>
      </c>
      <c r="AA23" s="725">
        <f>Z23*Y23</f>
        <v>0</v>
      </c>
      <c r="AB23" s="724">
        <f>AB24</f>
        <v>0</v>
      </c>
      <c r="AC23" s="724">
        <f>AC24</f>
        <v>0</v>
      </c>
      <c r="AD23" s="724">
        <f>Y23-AB23-AC23</f>
        <v>0</v>
      </c>
      <c r="AE23" s="724">
        <f>AE24</f>
        <v>0</v>
      </c>
      <c r="AF23" s="724">
        <f>AE24</f>
        <v>0</v>
      </c>
      <c r="AG23" s="724">
        <f>Z23-AE23-AF23</f>
        <v>0</v>
      </c>
      <c r="AH23" s="725">
        <f>AG23*AD23</f>
        <v>0</v>
      </c>
      <c r="AI23" s="738"/>
      <c r="AJ23" s="726">
        <f>AJ16</f>
        <v>0</v>
      </c>
      <c r="AK23" s="740">
        <f>ROUND(AI24*(1+AJ23),0)</f>
        <v>0</v>
      </c>
      <c r="AL23" s="725">
        <f>AG23*AD23*AK23</f>
        <v>0</v>
      </c>
      <c r="AM23" s="852">
        <f t="shared" si="0"/>
        <v>0</v>
      </c>
      <c r="AN23" s="727"/>
      <c r="AO23" s="728">
        <v>0</v>
      </c>
      <c r="AP23" s="728">
        <v>0</v>
      </c>
      <c r="AQ23" s="728">
        <v>0</v>
      </c>
      <c r="AR23" s="724">
        <f t="shared" si="2"/>
        <v>0</v>
      </c>
      <c r="AS23" s="724">
        <f t="shared" si="3"/>
        <v>0</v>
      </c>
      <c r="AT23" s="740">
        <f t="shared" si="4"/>
        <v>0</v>
      </c>
      <c r="AU23" s="729">
        <f>AL23*AP23*AQ23</f>
        <v>0</v>
      </c>
    </row>
    <row r="24" spans="1:47" s="545" customFormat="1" ht="14" customHeight="1" x14ac:dyDescent="0.15">
      <c r="A24" s="580"/>
      <c r="B24" s="581" t="s">
        <v>18</v>
      </c>
      <c r="C24" s="563"/>
      <c r="D24" s="563"/>
      <c r="E24" s="563"/>
      <c r="F24" s="563"/>
      <c r="G24" s="563"/>
      <c r="H24" s="768">
        <v>0</v>
      </c>
      <c r="I24" s="768">
        <v>0</v>
      </c>
      <c r="J24" s="768">
        <v>0</v>
      </c>
      <c r="K24" s="768">
        <v>0</v>
      </c>
      <c r="L24" s="777">
        <v>0</v>
      </c>
      <c r="M24" s="777">
        <v>0</v>
      </c>
      <c r="N24" s="778">
        <f>SUM(G24:M24)</f>
        <v>0</v>
      </c>
      <c r="O24" s="779">
        <v>0</v>
      </c>
      <c r="P24" s="780">
        <f t="shared" si="1"/>
        <v>0</v>
      </c>
      <c r="Q24" s="805">
        <f>P24</f>
        <v>0</v>
      </c>
      <c r="R24" s="158" t="e">
        <f>Q24/Q37</f>
        <v>#DIV/0!</v>
      </c>
      <c r="T24" s="580"/>
      <c r="U24" s="581" t="s">
        <v>18</v>
      </c>
      <c r="X24" s="547">
        <v>0</v>
      </c>
      <c r="Y24" s="721">
        <v>0</v>
      </c>
      <c r="Z24" s="721">
        <v>0</v>
      </c>
      <c r="AA24" s="722">
        <f>Z24*Y24</f>
        <v>0</v>
      </c>
      <c r="AB24" s="721">
        <v>0</v>
      </c>
      <c r="AC24" s="721">
        <v>0</v>
      </c>
      <c r="AD24" s="720">
        <f>Y24-AB24-AC24</f>
        <v>0</v>
      </c>
      <c r="AE24" s="721">
        <v>0</v>
      </c>
      <c r="AF24" s="720">
        <f>AE24</f>
        <v>0</v>
      </c>
      <c r="AG24" s="720">
        <f>Z24-AE24-AF24</f>
        <v>0</v>
      </c>
      <c r="AH24" s="722">
        <f>AG24*AD24</f>
        <v>0</v>
      </c>
      <c r="AI24" s="737">
        <v>0</v>
      </c>
      <c r="AJ24" s="719">
        <v>0</v>
      </c>
      <c r="AK24" s="739">
        <f>ROUND(AI24*(1+AJ24),0)</f>
        <v>0</v>
      </c>
      <c r="AL24" s="722">
        <f>AG24*AD24*AK24</f>
        <v>0</v>
      </c>
      <c r="AM24" s="852">
        <f t="shared" si="0"/>
        <v>0</v>
      </c>
      <c r="AN24" s="715"/>
      <c r="AO24" s="716">
        <v>0</v>
      </c>
      <c r="AP24" s="716">
        <v>0</v>
      </c>
      <c r="AQ24" s="716">
        <v>0</v>
      </c>
      <c r="AR24" s="720">
        <f t="shared" si="2"/>
        <v>0</v>
      </c>
      <c r="AS24" s="720">
        <f t="shared" si="3"/>
        <v>0</v>
      </c>
      <c r="AT24" s="739">
        <f t="shared" si="4"/>
        <v>0</v>
      </c>
      <c r="AU24" s="718">
        <f>AL24*AP24*AQ24</f>
        <v>0</v>
      </c>
    </row>
    <row r="25" spans="1:47" s="549" customFormat="1" ht="14" customHeight="1" x14ac:dyDescent="0.15">
      <c r="A25" s="582"/>
      <c r="B25" s="583" t="s">
        <v>41</v>
      </c>
      <c r="C25" s="563"/>
      <c r="D25" s="563"/>
      <c r="E25" s="563"/>
      <c r="F25" s="563">
        <f>SUM(F23:F24)</f>
        <v>0</v>
      </c>
      <c r="G25" s="563"/>
      <c r="H25" s="787">
        <f t="shared" ref="H25:Q25" si="9">SUM(H23:H24)</f>
        <v>0</v>
      </c>
      <c r="I25" s="787">
        <f t="shared" si="9"/>
        <v>0</v>
      </c>
      <c r="J25" s="787">
        <f t="shared" si="9"/>
        <v>0</v>
      </c>
      <c r="K25" s="787">
        <f t="shared" si="9"/>
        <v>0</v>
      </c>
      <c r="L25" s="787">
        <f t="shared" si="9"/>
        <v>0</v>
      </c>
      <c r="M25" s="788">
        <f t="shared" si="9"/>
        <v>0</v>
      </c>
      <c r="N25" s="789">
        <f t="shared" si="9"/>
        <v>0</v>
      </c>
      <c r="O25" s="789">
        <f t="shared" si="9"/>
        <v>0</v>
      </c>
      <c r="P25" s="888">
        <f t="shared" si="9"/>
        <v>0</v>
      </c>
      <c r="Q25" s="808">
        <f t="shared" si="9"/>
        <v>0</v>
      </c>
      <c r="R25" s="263" t="e">
        <f>Q25/Q37</f>
        <v>#DIV/0!</v>
      </c>
      <c r="T25" s="582"/>
      <c r="U25" s="583" t="s">
        <v>432</v>
      </c>
      <c r="V25" s="549" t="s">
        <v>525</v>
      </c>
      <c r="W25" s="549" t="s">
        <v>526</v>
      </c>
      <c r="X25" s="891">
        <f>SUM(C47:C48)*2</f>
        <v>0</v>
      </c>
      <c r="Y25" s="720">
        <f t="shared" ref="Y25:AH25" si="10">Y24</f>
        <v>0</v>
      </c>
      <c r="Z25" s="720">
        <f t="shared" si="10"/>
        <v>0</v>
      </c>
      <c r="AA25" s="722">
        <f t="shared" si="10"/>
        <v>0</v>
      </c>
      <c r="AB25" s="720">
        <f t="shared" si="10"/>
        <v>0</v>
      </c>
      <c r="AC25" s="720">
        <f t="shared" si="10"/>
        <v>0</v>
      </c>
      <c r="AD25" s="720">
        <f t="shared" si="10"/>
        <v>0</v>
      </c>
      <c r="AE25" s="720">
        <f t="shared" si="10"/>
        <v>0</v>
      </c>
      <c r="AF25" s="720">
        <f t="shared" si="10"/>
        <v>0</v>
      </c>
      <c r="AG25" s="720">
        <f t="shared" si="10"/>
        <v>0</v>
      </c>
      <c r="AH25" s="722">
        <f t="shared" si="10"/>
        <v>0</v>
      </c>
      <c r="AI25" s="739"/>
      <c r="AJ25" s="719"/>
      <c r="AK25" s="739">
        <f>AK24</f>
        <v>0</v>
      </c>
      <c r="AL25" s="722">
        <f>AL24</f>
        <v>0</v>
      </c>
      <c r="AM25" s="853">
        <f t="shared" si="0"/>
        <v>0</v>
      </c>
      <c r="AN25" s="715"/>
      <c r="AO25" s="719">
        <f>AO24</f>
        <v>0</v>
      </c>
      <c r="AP25" s="719">
        <f>AP24</f>
        <v>0</v>
      </c>
      <c r="AQ25" s="719">
        <f>AQ24</f>
        <v>0</v>
      </c>
      <c r="AR25" s="720">
        <f t="shared" si="2"/>
        <v>0</v>
      </c>
      <c r="AS25" s="720">
        <f t="shared" si="3"/>
        <v>0</v>
      </c>
      <c r="AT25" s="739">
        <f t="shared" si="4"/>
        <v>0</v>
      </c>
      <c r="AU25" s="718">
        <f>AU24</f>
        <v>0</v>
      </c>
    </row>
    <row r="26" spans="1:47" s="545" customFormat="1" ht="14" customHeight="1" x14ac:dyDescent="0.15">
      <c r="A26" s="584" t="s">
        <v>235</v>
      </c>
      <c r="B26" s="569" t="s">
        <v>63</v>
      </c>
      <c r="C26" s="563"/>
      <c r="D26" s="563"/>
      <c r="E26" s="563"/>
      <c r="F26" s="563"/>
      <c r="G26" s="563"/>
      <c r="H26" s="768">
        <v>0</v>
      </c>
      <c r="I26" s="768">
        <v>0</v>
      </c>
      <c r="J26" s="768">
        <v>0</v>
      </c>
      <c r="K26" s="768">
        <v>0</v>
      </c>
      <c r="L26" s="777">
        <v>0</v>
      </c>
      <c r="M26" s="777">
        <v>0</v>
      </c>
      <c r="N26" s="884">
        <f>SUM(G26:M26)</f>
        <v>0</v>
      </c>
      <c r="O26" s="779">
        <v>0</v>
      </c>
      <c r="P26" s="780">
        <f t="shared" si="1"/>
        <v>0</v>
      </c>
      <c r="Q26" s="805">
        <f>P26</f>
        <v>0</v>
      </c>
      <c r="R26" s="158" t="e">
        <f>Q26/Q37</f>
        <v>#DIV/0!</v>
      </c>
      <c r="T26" s="584" t="s">
        <v>235</v>
      </c>
      <c r="U26" s="569" t="s">
        <v>63</v>
      </c>
      <c r="V26" s="882">
        <v>0</v>
      </c>
      <c r="W26" s="731">
        <v>0</v>
      </c>
      <c r="X26" s="730">
        <v>0</v>
      </c>
      <c r="Y26" s="733">
        <f>(V26-W26)/2</f>
        <v>0</v>
      </c>
      <c r="Z26" s="731">
        <v>0</v>
      </c>
      <c r="AA26" s="732">
        <f>Z26*Y26</f>
        <v>0</v>
      </c>
      <c r="AB26" s="731">
        <v>0</v>
      </c>
      <c r="AC26" s="731">
        <v>0</v>
      </c>
      <c r="AD26" s="733">
        <f>Y26-AB26-AC26</f>
        <v>0</v>
      </c>
      <c r="AE26" s="731">
        <v>0</v>
      </c>
      <c r="AF26" s="733">
        <f>AE26</f>
        <v>0</v>
      </c>
      <c r="AG26" s="733">
        <f>Z26-2*AE26</f>
        <v>0</v>
      </c>
      <c r="AH26" s="732">
        <f>AG26*AD26</f>
        <v>0</v>
      </c>
      <c r="AI26" s="744">
        <v>0</v>
      </c>
      <c r="AJ26" s="741">
        <v>0</v>
      </c>
      <c r="AK26" s="742">
        <f>ROUND(AI26*(1+AJ26),0)</f>
        <v>0</v>
      </c>
      <c r="AL26" s="732">
        <f>AG26*AD26*AK26</f>
        <v>0</v>
      </c>
      <c r="AM26" s="883">
        <f>IF(AA26=0,0,AL26/AA26)</f>
        <v>0</v>
      </c>
      <c r="AN26" s="734"/>
      <c r="AO26" s="735">
        <v>0</v>
      </c>
      <c r="AP26" s="735">
        <v>0</v>
      </c>
      <c r="AQ26" s="735">
        <v>0</v>
      </c>
      <c r="AR26" s="733">
        <f t="shared" si="2"/>
        <v>0</v>
      </c>
      <c r="AS26" s="733">
        <f t="shared" si="3"/>
        <v>0</v>
      </c>
      <c r="AT26" s="742">
        <f t="shared" si="4"/>
        <v>0</v>
      </c>
      <c r="AU26" s="743">
        <f>AL26*AP26*AQ26</f>
        <v>0</v>
      </c>
    </row>
    <row r="27" spans="1:47" s="545" customFormat="1" ht="14" customHeight="1" x14ac:dyDescent="0.15">
      <c r="A27" s="584" t="s">
        <v>235</v>
      </c>
      <c r="B27" s="575" t="s">
        <v>64</v>
      </c>
      <c r="C27" s="563"/>
      <c r="D27" s="563"/>
      <c r="E27" s="563"/>
      <c r="F27" s="563"/>
      <c r="G27" s="563"/>
      <c r="H27" s="768">
        <v>0</v>
      </c>
      <c r="I27" s="768">
        <v>0</v>
      </c>
      <c r="J27" s="768">
        <v>0</v>
      </c>
      <c r="K27" s="768">
        <v>0</v>
      </c>
      <c r="L27" s="777">
        <v>0</v>
      </c>
      <c r="M27" s="777">
        <v>0</v>
      </c>
      <c r="N27" s="778">
        <f>SUM(G27:M27)</f>
        <v>0</v>
      </c>
      <c r="O27" s="779">
        <v>0</v>
      </c>
      <c r="P27" s="780">
        <f t="shared" si="1"/>
        <v>0</v>
      </c>
      <c r="Q27" s="805">
        <f>P27</f>
        <v>0</v>
      </c>
      <c r="R27" s="158" t="e">
        <f>Q27/Q37</f>
        <v>#DIV/0!</v>
      </c>
      <c r="T27" s="584" t="s">
        <v>235</v>
      </c>
      <c r="U27" s="575" t="s">
        <v>64</v>
      </c>
      <c r="V27" s="873">
        <f>V28</f>
        <v>0</v>
      </c>
      <c r="W27" s="873">
        <f>W28</f>
        <v>0</v>
      </c>
      <c r="X27" s="874">
        <v>0</v>
      </c>
      <c r="Y27" s="875">
        <f>(V27-W27)/2</f>
        <v>0</v>
      </c>
      <c r="Z27" s="873">
        <v>0</v>
      </c>
      <c r="AA27" s="876">
        <f>Z27*Y27</f>
        <v>0</v>
      </c>
      <c r="AB27" s="873">
        <v>0</v>
      </c>
      <c r="AC27" s="873">
        <v>0</v>
      </c>
      <c r="AD27" s="875">
        <f>Y27-AB27-AC27</f>
        <v>0</v>
      </c>
      <c r="AE27" s="873">
        <v>0</v>
      </c>
      <c r="AF27" s="875">
        <f>AE27</f>
        <v>0</v>
      </c>
      <c r="AG27" s="875">
        <f>Z27-2*AE27</f>
        <v>0</v>
      </c>
      <c r="AH27" s="876">
        <f>AG27*AD27</f>
        <v>0</v>
      </c>
      <c r="AI27" s="877">
        <f>AI28</f>
        <v>0</v>
      </c>
      <c r="AJ27" s="878">
        <v>0</v>
      </c>
      <c r="AK27" s="879">
        <f>ROUND(AI27*(1+AJ27),0)</f>
        <v>0</v>
      </c>
      <c r="AL27" s="876">
        <f>AG27*AD27*AK27</f>
        <v>0</v>
      </c>
      <c r="AM27" s="851">
        <f t="shared" si="0"/>
        <v>0</v>
      </c>
      <c r="AN27" s="715"/>
      <c r="AO27" s="880">
        <f>AO28</f>
        <v>0</v>
      </c>
      <c r="AP27" s="880">
        <f>AP28</f>
        <v>0</v>
      </c>
      <c r="AQ27" s="880">
        <f>AQ28</f>
        <v>0</v>
      </c>
      <c r="AR27" s="875">
        <f t="shared" si="2"/>
        <v>0</v>
      </c>
      <c r="AS27" s="875">
        <f t="shared" si="3"/>
        <v>0</v>
      </c>
      <c r="AT27" s="879">
        <f t="shared" si="4"/>
        <v>0</v>
      </c>
      <c r="AU27" s="881">
        <f>AL27*AP27*AQ27</f>
        <v>0</v>
      </c>
    </row>
    <row r="28" spans="1:47" s="545" customFormat="1" ht="14" customHeight="1" x14ac:dyDescent="0.15">
      <c r="A28" s="585" t="s">
        <v>236</v>
      </c>
      <c r="B28" s="586" t="s">
        <v>69</v>
      </c>
      <c r="C28" s="563"/>
      <c r="D28" s="563"/>
      <c r="E28" s="563"/>
      <c r="F28" s="563"/>
      <c r="G28" s="563"/>
      <c r="H28" s="768">
        <v>0</v>
      </c>
      <c r="I28" s="768">
        <v>0</v>
      </c>
      <c r="J28" s="768">
        <v>0</v>
      </c>
      <c r="K28" s="768">
        <v>0</v>
      </c>
      <c r="L28" s="790">
        <v>0</v>
      </c>
      <c r="M28" s="790">
        <v>0</v>
      </c>
      <c r="N28" s="791">
        <f>SUM(G28:M28)</f>
        <v>0</v>
      </c>
      <c r="O28" s="792">
        <v>0</v>
      </c>
      <c r="P28" s="793">
        <f t="shared" si="1"/>
        <v>0</v>
      </c>
      <c r="Q28" s="809">
        <f>P28</f>
        <v>0</v>
      </c>
      <c r="R28" s="262" t="e">
        <f>Q28/Q37</f>
        <v>#DIV/0!</v>
      </c>
      <c r="T28" s="585" t="s">
        <v>236</v>
      </c>
      <c r="U28" s="586" t="s">
        <v>69</v>
      </c>
      <c r="V28" s="721">
        <v>0</v>
      </c>
      <c r="W28" s="721">
        <v>0</v>
      </c>
      <c r="X28" s="547">
        <v>0</v>
      </c>
      <c r="Y28" s="720">
        <f>(V28-W28)/2</f>
        <v>0</v>
      </c>
      <c r="Z28" s="721">
        <v>0</v>
      </c>
      <c r="AA28" s="722">
        <f>Z28*Y28</f>
        <v>0</v>
      </c>
      <c r="AB28" s="721">
        <v>0</v>
      </c>
      <c r="AC28" s="721">
        <v>0</v>
      </c>
      <c r="AD28" s="720">
        <f>Y28-AB28-AC28</f>
        <v>0</v>
      </c>
      <c r="AE28" s="721">
        <v>0</v>
      </c>
      <c r="AF28" s="720">
        <f>AE28</f>
        <v>0</v>
      </c>
      <c r="AG28" s="720">
        <f>Z28-2*AE28</f>
        <v>0</v>
      </c>
      <c r="AH28" s="722">
        <f>AG28*AD28</f>
        <v>0</v>
      </c>
      <c r="AI28" s="737">
        <v>0</v>
      </c>
      <c r="AJ28" s="719">
        <v>0</v>
      </c>
      <c r="AK28" s="739">
        <f>ROUND(AI28*(1+AJ28),0)</f>
        <v>0</v>
      </c>
      <c r="AL28" s="722">
        <f>AG28*AD28*AK28</f>
        <v>0</v>
      </c>
      <c r="AM28" s="852">
        <f t="shared" si="0"/>
        <v>0</v>
      </c>
      <c r="AN28" s="715"/>
      <c r="AO28" s="716">
        <v>0</v>
      </c>
      <c r="AP28" s="716">
        <v>0</v>
      </c>
      <c r="AQ28" s="716">
        <v>0</v>
      </c>
      <c r="AR28" s="720">
        <f t="shared" si="2"/>
        <v>0</v>
      </c>
      <c r="AS28" s="720">
        <f t="shared" si="3"/>
        <v>0</v>
      </c>
      <c r="AT28" s="739">
        <f t="shared" si="4"/>
        <v>0</v>
      </c>
      <c r="AU28" s="718">
        <f>AL28*AP28*AQ28</f>
        <v>0</v>
      </c>
    </row>
    <row r="29" spans="1:47" s="545" customFormat="1" ht="14" customHeight="1" x14ac:dyDescent="0.15">
      <c r="A29" s="584" t="s">
        <v>234</v>
      </c>
      <c r="B29" s="581" t="s">
        <v>69</v>
      </c>
      <c r="C29" s="563"/>
      <c r="D29" s="563"/>
      <c r="E29" s="563"/>
      <c r="F29" s="563"/>
      <c r="G29" s="563"/>
      <c r="H29" s="794">
        <v>0</v>
      </c>
      <c r="I29" s="794">
        <v>0</v>
      </c>
      <c r="J29" s="794">
        <v>0</v>
      </c>
      <c r="K29" s="794">
        <v>0</v>
      </c>
      <c r="L29" s="777">
        <v>0</v>
      </c>
      <c r="M29" s="777">
        <v>0</v>
      </c>
      <c r="N29" s="884">
        <f>SUM(G29:M29)</f>
        <v>0</v>
      </c>
      <c r="O29" s="779">
        <v>0</v>
      </c>
      <c r="P29" s="780">
        <f t="shared" si="1"/>
        <v>0</v>
      </c>
      <c r="Q29" s="805">
        <f>P29</f>
        <v>0</v>
      </c>
      <c r="R29" s="158" t="e">
        <f>Q29/Q37</f>
        <v>#DIV/0!</v>
      </c>
      <c r="T29" s="584" t="s">
        <v>234</v>
      </c>
      <c r="U29" s="581" t="s">
        <v>69</v>
      </c>
      <c r="V29" s="720">
        <f t="shared" ref="V29:W29" si="11">V28</f>
        <v>0</v>
      </c>
      <c r="W29" s="720">
        <f t="shared" si="11"/>
        <v>0</v>
      </c>
      <c r="X29" s="547">
        <v>0</v>
      </c>
      <c r="Y29" s="720">
        <f t="shared" ref="Y29:AH29" si="12">Y28</f>
        <v>0</v>
      </c>
      <c r="Z29" s="720">
        <f t="shared" si="12"/>
        <v>0</v>
      </c>
      <c r="AA29" s="722">
        <f t="shared" si="12"/>
        <v>0</v>
      </c>
      <c r="AB29" s="720">
        <f t="shared" si="12"/>
        <v>0</v>
      </c>
      <c r="AC29" s="720">
        <f t="shared" si="12"/>
        <v>0</v>
      </c>
      <c r="AD29" s="720">
        <f t="shared" si="12"/>
        <v>0</v>
      </c>
      <c r="AE29" s="720">
        <f t="shared" si="12"/>
        <v>0</v>
      </c>
      <c r="AF29" s="720">
        <f t="shared" si="12"/>
        <v>0</v>
      </c>
      <c r="AG29" s="720">
        <f t="shared" si="12"/>
        <v>0</v>
      </c>
      <c r="AH29" s="722">
        <f t="shared" si="12"/>
        <v>0</v>
      </c>
      <c r="AI29" s="739"/>
      <c r="AJ29" s="719"/>
      <c r="AK29" s="739">
        <f>AK28</f>
        <v>0</v>
      </c>
      <c r="AL29" s="722">
        <f>AL28</f>
        <v>0</v>
      </c>
      <c r="AM29" s="852">
        <f t="shared" si="0"/>
        <v>0</v>
      </c>
      <c r="AN29" s="715"/>
      <c r="AO29" s="719">
        <f>AO28</f>
        <v>0</v>
      </c>
      <c r="AP29" s="719">
        <f>AP28</f>
        <v>0</v>
      </c>
      <c r="AQ29" s="719">
        <f>AQ28</f>
        <v>0</v>
      </c>
      <c r="AR29" s="720">
        <f t="shared" si="2"/>
        <v>0</v>
      </c>
      <c r="AS29" s="720">
        <f t="shared" si="3"/>
        <v>0</v>
      </c>
      <c r="AT29" s="739">
        <f t="shared" si="4"/>
        <v>0</v>
      </c>
      <c r="AU29" s="718">
        <f>AU28</f>
        <v>0</v>
      </c>
    </row>
    <row r="30" spans="1:47" s="545" customFormat="1" ht="14" customHeight="1" x14ac:dyDescent="0.15">
      <c r="A30" s="587" t="s">
        <v>231</v>
      </c>
      <c r="B30" s="588" t="s">
        <v>233</v>
      </c>
      <c r="C30" s="563"/>
      <c r="D30" s="563"/>
      <c r="E30" s="563"/>
      <c r="F30" s="563"/>
      <c r="G30" s="563"/>
      <c r="H30" s="768">
        <v>0</v>
      </c>
      <c r="I30" s="768">
        <v>0</v>
      </c>
      <c r="J30" s="768">
        <v>0</v>
      </c>
      <c r="K30" s="768">
        <v>0</v>
      </c>
      <c r="L30" s="777">
        <v>0</v>
      </c>
      <c r="M30" s="777">
        <v>0</v>
      </c>
      <c r="N30" s="778">
        <f>SUM(G30:M30)</f>
        <v>0</v>
      </c>
      <c r="O30" s="779">
        <v>0</v>
      </c>
      <c r="P30" s="780">
        <f t="shared" si="1"/>
        <v>0</v>
      </c>
      <c r="Q30" s="805">
        <f>P30</f>
        <v>0</v>
      </c>
      <c r="R30" s="158" t="e">
        <f>Q30/Q37</f>
        <v>#DIV/0!</v>
      </c>
      <c r="T30" s="587" t="s">
        <v>231</v>
      </c>
      <c r="U30" s="588" t="s">
        <v>233</v>
      </c>
      <c r="V30" s="720">
        <f>V28</f>
        <v>0</v>
      </c>
      <c r="W30" s="721">
        <v>0</v>
      </c>
      <c r="X30" s="547">
        <v>0</v>
      </c>
      <c r="Y30" s="720">
        <f>(V30-W30)/2</f>
        <v>0</v>
      </c>
      <c r="Z30" s="721">
        <v>0</v>
      </c>
      <c r="AA30" s="722">
        <f>Z30*Y30</f>
        <v>0</v>
      </c>
      <c r="AB30" s="873">
        <f>AB28</f>
        <v>0</v>
      </c>
      <c r="AC30" s="873">
        <f>AC28</f>
        <v>0</v>
      </c>
      <c r="AD30" s="875">
        <f>Y30-AB30-AC30</f>
        <v>0</v>
      </c>
      <c r="AE30" s="873">
        <f>AE28</f>
        <v>0</v>
      </c>
      <c r="AF30" s="720">
        <f>AE30</f>
        <v>0</v>
      </c>
      <c r="AG30" s="720">
        <f>Z30-2*AE30</f>
        <v>0</v>
      </c>
      <c r="AH30" s="722">
        <f>AG30*AD30</f>
        <v>0</v>
      </c>
      <c r="AI30" s="736">
        <f>AI28</f>
        <v>0</v>
      </c>
      <c r="AJ30" s="719">
        <v>0</v>
      </c>
      <c r="AK30" s="739">
        <f>ROUND(AI30*(1+AJ30),0)</f>
        <v>0</v>
      </c>
      <c r="AL30" s="722">
        <f>AG30*AD30*AK30</f>
        <v>0</v>
      </c>
      <c r="AM30" s="852">
        <f t="shared" si="0"/>
        <v>0</v>
      </c>
      <c r="AN30" s="715"/>
      <c r="AO30" s="716">
        <v>0</v>
      </c>
      <c r="AP30" s="716">
        <v>0</v>
      </c>
      <c r="AQ30" s="716">
        <v>0</v>
      </c>
      <c r="AR30" s="720">
        <f t="shared" si="2"/>
        <v>0</v>
      </c>
      <c r="AS30" s="720">
        <f t="shared" si="3"/>
        <v>0</v>
      </c>
      <c r="AT30" s="739">
        <f t="shared" si="4"/>
        <v>0</v>
      </c>
      <c r="AU30" s="718">
        <f>AL30*AP30*AQ30</f>
        <v>0</v>
      </c>
    </row>
    <row r="31" spans="1:47" s="549" customFormat="1" ht="14" customHeight="1" x14ac:dyDescent="0.15">
      <c r="A31" s="589"/>
      <c r="B31" s="590" t="s">
        <v>59</v>
      </c>
      <c r="C31" s="563"/>
      <c r="D31" s="563"/>
      <c r="E31" s="563"/>
      <c r="F31" s="563"/>
      <c r="G31" s="563"/>
      <c r="H31" s="795">
        <f t="shared" ref="H31:M31" si="13">SUM(H26:H30)</f>
        <v>0</v>
      </c>
      <c r="I31" s="795">
        <f t="shared" si="13"/>
        <v>0</v>
      </c>
      <c r="J31" s="795">
        <f t="shared" si="13"/>
        <v>0</v>
      </c>
      <c r="K31" s="795">
        <f t="shared" si="13"/>
        <v>0</v>
      </c>
      <c r="L31" s="795">
        <f t="shared" si="13"/>
        <v>0</v>
      </c>
      <c r="M31" s="796">
        <f t="shared" si="13"/>
        <v>0</v>
      </c>
      <c r="N31" s="797">
        <f>SUM(N26:N30)</f>
        <v>0</v>
      </c>
      <c r="O31" s="797">
        <f>SUM(O26:O30)</f>
        <v>0</v>
      </c>
      <c r="P31" s="889">
        <f>SUM(P26:P30)</f>
        <v>0</v>
      </c>
      <c r="Q31" s="810">
        <f>SUM(Q26:Q30)</f>
        <v>0</v>
      </c>
      <c r="R31" s="263" t="e">
        <f>Q31/Q37</f>
        <v>#DIV/0!</v>
      </c>
      <c r="AA31" s="711"/>
      <c r="AB31" s="711"/>
      <c r="AC31" s="711"/>
      <c r="AD31" s="711"/>
      <c r="AE31" s="711"/>
      <c r="AF31" s="711"/>
      <c r="AG31" s="711"/>
      <c r="AH31" s="711"/>
      <c r="AJ31" s="711"/>
      <c r="AK31" s="711"/>
      <c r="AL31" s="711"/>
      <c r="AM31" s="711"/>
      <c r="AN31" s="711"/>
      <c r="AO31" s="711"/>
      <c r="AP31" s="711"/>
      <c r="AQ31" s="711"/>
      <c r="AR31" s="711"/>
      <c r="AS31" s="711"/>
      <c r="AT31" s="712"/>
    </row>
    <row r="32" spans="1:47" s="621" customFormat="1" ht="14" customHeight="1" thickBot="1" x14ac:dyDescent="0.2">
      <c r="A32" s="591"/>
      <c r="B32" s="592" t="s">
        <v>42</v>
      </c>
      <c r="C32" s="563">
        <v>0</v>
      </c>
      <c r="D32" s="563">
        <v>0</v>
      </c>
      <c r="E32" s="563">
        <v>0</v>
      </c>
      <c r="F32" s="563">
        <v>0</v>
      </c>
      <c r="G32" s="563">
        <v>0</v>
      </c>
      <c r="H32" s="798">
        <f t="shared" ref="H32:M32" si="14">H31+H25+H22+H18</f>
        <v>0</v>
      </c>
      <c r="I32" s="798">
        <f t="shared" si="14"/>
        <v>0</v>
      </c>
      <c r="J32" s="798">
        <f t="shared" si="14"/>
        <v>0</v>
      </c>
      <c r="K32" s="798">
        <f t="shared" si="14"/>
        <v>0</v>
      </c>
      <c r="L32" s="798">
        <f t="shared" si="14"/>
        <v>0</v>
      </c>
      <c r="M32" s="799">
        <f t="shared" si="14"/>
        <v>0</v>
      </c>
      <c r="N32" s="800">
        <f>N31+N25+N22+N18</f>
        <v>0</v>
      </c>
      <c r="O32" s="800">
        <f>O31+O25+O22+O18</f>
        <v>0</v>
      </c>
      <c r="P32" s="890">
        <f>P31+P25+P22+P18</f>
        <v>0</v>
      </c>
      <c r="Q32" s="811">
        <f>Q31+Q25+Q22+Q18</f>
        <v>0</v>
      </c>
      <c r="R32" s="265" t="e">
        <f>Q32/Q37</f>
        <v>#DIV/0!</v>
      </c>
      <c r="AA32" s="545"/>
      <c r="AB32" s="549"/>
      <c r="AD32" s="549"/>
      <c r="AE32" s="549"/>
      <c r="AF32" s="549"/>
      <c r="AG32" s="549"/>
      <c r="AH32" s="549"/>
      <c r="AL32" s="549"/>
      <c r="AT32" s="706"/>
    </row>
    <row r="33" spans="1:46" s="545" customFormat="1" ht="14" customHeight="1" x14ac:dyDescent="0.15">
      <c r="A33" s="593"/>
      <c r="B33" s="594" t="s">
        <v>20</v>
      </c>
      <c r="C33" s="773">
        <v>0</v>
      </c>
      <c r="D33" s="773">
        <v>0</v>
      </c>
      <c r="E33" s="773">
        <v>0</v>
      </c>
      <c r="F33" s="769">
        <f>SUM(C33:E33)</f>
        <v>0</v>
      </c>
      <c r="G33" s="774">
        <v>0</v>
      </c>
      <c r="H33" s="622"/>
      <c r="I33" s="622"/>
      <c r="J33" s="622"/>
      <c r="K33" s="622"/>
      <c r="L33" s="622"/>
      <c r="M33" s="622"/>
      <c r="N33" s="802">
        <f>G33</f>
        <v>0</v>
      </c>
      <c r="O33" s="623"/>
      <c r="P33" s="802">
        <f t="shared" ref="P33:P35" si="15">SUM(N33:O33)</f>
        <v>0</v>
      </c>
      <c r="Q33" s="619">
        <f>P33+F33</f>
        <v>0</v>
      </c>
      <c r="R33" s="158" t="e">
        <f>Q33/Q37</f>
        <v>#DIV/0!</v>
      </c>
      <c r="AB33" s="549"/>
      <c r="AD33" s="549"/>
      <c r="AE33" s="549"/>
      <c r="AF33" s="549"/>
      <c r="AG33" s="549"/>
      <c r="AH33" s="549"/>
      <c r="AL33" s="549"/>
      <c r="AT33" s="548"/>
    </row>
    <row r="34" spans="1:46" s="545" customFormat="1" ht="14" customHeight="1" x14ac:dyDescent="0.15">
      <c r="A34" s="595"/>
      <c r="B34" s="596" t="s">
        <v>21</v>
      </c>
      <c r="C34" s="773">
        <v>0</v>
      </c>
      <c r="D34" s="773">
        <v>0</v>
      </c>
      <c r="E34" s="773">
        <v>0</v>
      </c>
      <c r="F34" s="769">
        <f>SUM(C34:E34)</f>
        <v>0</v>
      </c>
      <c r="G34" s="774">
        <v>0</v>
      </c>
      <c r="H34" s="622"/>
      <c r="I34" s="622"/>
      <c r="J34" s="622"/>
      <c r="K34" s="622"/>
      <c r="L34" s="622"/>
      <c r="M34" s="622"/>
      <c r="N34" s="803">
        <f>G34</f>
        <v>0</v>
      </c>
      <c r="O34" s="623"/>
      <c r="P34" s="803">
        <f t="shared" si="15"/>
        <v>0</v>
      </c>
      <c r="Q34" s="619">
        <f>P34+F34</f>
        <v>0</v>
      </c>
      <c r="R34" s="158" t="e">
        <f>Q34/Q37</f>
        <v>#DIV/0!</v>
      </c>
      <c r="AB34" s="549"/>
      <c r="AD34" s="549"/>
      <c r="AE34" s="549"/>
      <c r="AF34" s="549"/>
      <c r="AG34" s="549"/>
      <c r="AH34" s="549"/>
      <c r="AL34" s="549"/>
      <c r="AT34" s="548"/>
    </row>
    <row r="35" spans="1:46" s="545" customFormat="1" ht="14" customHeight="1" x14ac:dyDescent="0.15">
      <c r="A35" s="597"/>
      <c r="B35" s="598" t="s">
        <v>22</v>
      </c>
      <c r="C35" s="773">
        <v>0</v>
      </c>
      <c r="D35" s="773">
        <v>0</v>
      </c>
      <c r="E35" s="773">
        <v>0</v>
      </c>
      <c r="F35" s="769">
        <f>SUM(C35:E35)</f>
        <v>0</v>
      </c>
      <c r="G35" s="774">
        <v>0</v>
      </c>
      <c r="H35" s="622"/>
      <c r="I35" s="622"/>
      <c r="J35" s="622"/>
      <c r="K35" s="622"/>
      <c r="L35" s="622"/>
      <c r="M35" s="622"/>
      <c r="N35" s="804">
        <f>G35</f>
        <v>0</v>
      </c>
      <c r="O35" s="623"/>
      <c r="P35" s="804">
        <f t="shared" si="15"/>
        <v>0</v>
      </c>
      <c r="Q35" s="619">
        <f>P35+F35</f>
        <v>0</v>
      </c>
      <c r="R35" s="158" t="e">
        <f>Q35/Q37</f>
        <v>#DIV/0!</v>
      </c>
      <c r="AT35" s="548"/>
    </row>
    <row r="36" spans="1:46" s="621" customFormat="1" ht="14" customHeight="1" thickBot="1" x14ac:dyDescent="0.2">
      <c r="A36" s="591"/>
      <c r="B36" s="592" t="s">
        <v>43</v>
      </c>
      <c r="C36" s="775">
        <f t="shared" ref="C36:G36" si="16">SUM(C33:C35)</f>
        <v>0</v>
      </c>
      <c r="D36" s="775">
        <f t="shared" si="16"/>
        <v>0</v>
      </c>
      <c r="E36" s="775">
        <f t="shared" si="16"/>
        <v>0</v>
      </c>
      <c r="F36" s="775">
        <f t="shared" si="16"/>
        <v>0</v>
      </c>
      <c r="G36" s="775">
        <f t="shared" si="16"/>
        <v>0</v>
      </c>
      <c r="H36" s="622"/>
      <c r="I36" s="622"/>
      <c r="J36" s="622"/>
      <c r="K36" s="622"/>
      <c r="L36" s="622"/>
      <c r="M36" s="622"/>
      <c r="N36" s="800">
        <f>SUM(N33:N35)</f>
        <v>0</v>
      </c>
      <c r="O36" s="623"/>
      <c r="P36" s="890">
        <f>SUM(P33:P35)</f>
        <v>0</v>
      </c>
      <c r="Q36" s="620">
        <f>SUM(Q33:Q35)</f>
        <v>0</v>
      </c>
      <c r="R36" s="265" t="e">
        <f>Q36/Q37</f>
        <v>#DIV/0!</v>
      </c>
      <c r="AA36" s="545"/>
      <c r="AT36" s="706"/>
    </row>
    <row r="37" spans="1:46" s="624" customFormat="1" ht="14" customHeight="1" thickBot="1" x14ac:dyDescent="0.2">
      <c r="A37" s="599"/>
      <c r="B37" s="600" t="s">
        <v>23</v>
      </c>
      <c r="C37" s="776">
        <f>C36+C13</f>
        <v>0</v>
      </c>
      <c r="D37" s="776">
        <f>D36+D13</f>
        <v>0</v>
      </c>
      <c r="E37" s="776">
        <f>E36+E13</f>
        <v>0</v>
      </c>
      <c r="F37" s="776">
        <f>F36+F13</f>
        <v>0</v>
      </c>
      <c r="G37" s="776">
        <f t="shared" ref="G37:K37" si="17">G32</f>
        <v>0</v>
      </c>
      <c r="H37" s="776">
        <f t="shared" si="17"/>
        <v>0</v>
      </c>
      <c r="I37" s="776">
        <f t="shared" si="17"/>
        <v>0</v>
      </c>
      <c r="J37" s="776">
        <f t="shared" si="17"/>
        <v>0</v>
      </c>
      <c r="K37" s="776">
        <f t="shared" si="17"/>
        <v>0</v>
      </c>
      <c r="L37" s="776">
        <f>L32</f>
        <v>0</v>
      </c>
      <c r="M37" s="885">
        <f>M32</f>
        <v>0</v>
      </c>
      <c r="N37" s="801">
        <f>N36+N32</f>
        <v>0</v>
      </c>
      <c r="O37" s="801">
        <f>O36+O32</f>
        <v>0</v>
      </c>
      <c r="P37" s="801">
        <f>P36+P32</f>
        <v>0</v>
      </c>
      <c r="Q37" s="836">
        <f>Q36+Q32+Q13</f>
        <v>0</v>
      </c>
      <c r="R37" s="266" t="e">
        <f>Q37/Q37</f>
        <v>#DIV/0!</v>
      </c>
      <c r="AA37" s="545"/>
      <c r="AT37" s="707"/>
    </row>
    <row r="38" spans="1:46" ht="14" customHeight="1" x14ac:dyDescent="0.15">
      <c r="A38" s="601"/>
      <c r="B38" s="602" t="s">
        <v>38</v>
      </c>
      <c r="C38" s="158" t="e">
        <f>C37/Q37</f>
        <v>#DIV/0!</v>
      </c>
      <c r="D38" s="158" t="e">
        <f>D37/Q37</f>
        <v>#DIV/0!</v>
      </c>
      <c r="E38" s="159" t="e">
        <f>E37/Q37</f>
        <v>#DIV/0!</v>
      </c>
      <c r="F38" s="158" t="e">
        <f>F37/Q37</f>
        <v>#DIV/0!</v>
      </c>
      <c r="G38" s="158" t="e">
        <f>G37/Q37</f>
        <v>#DIV/0!</v>
      </c>
      <c r="H38" s="158" t="e">
        <f>H37/Q37</f>
        <v>#DIV/0!</v>
      </c>
      <c r="I38" s="158" t="e">
        <f>I37/Q37</f>
        <v>#DIV/0!</v>
      </c>
      <c r="J38" s="158" t="e">
        <f>J37/Q37</f>
        <v>#DIV/0!</v>
      </c>
      <c r="K38" s="158" t="e">
        <f>K37/Q37</f>
        <v>#DIV/0!</v>
      </c>
      <c r="L38" s="158" t="e">
        <f>L37/Q37</f>
        <v>#DIV/0!</v>
      </c>
      <c r="M38" s="159" t="e">
        <f>M37/Q37</f>
        <v>#DIV/0!</v>
      </c>
      <c r="N38" s="535" t="e">
        <f>N37/Q37</f>
        <v>#DIV/0!</v>
      </c>
      <c r="O38" s="535" t="e">
        <f>O37/Q37</f>
        <v>#DIV/0!</v>
      </c>
      <c r="P38" s="536" t="e">
        <f>P37/Q37</f>
        <v>#DIV/0!</v>
      </c>
      <c r="Q38" s="158" t="e">
        <f>Q37/Q37</f>
        <v>#DIV/0!</v>
      </c>
      <c r="V38" s="6"/>
      <c r="W38" s="6"/>
      <c r="X38" s="6"/>
      <c r="Y38" s="6"/>
      <c r="Z38" s="6"/>
    </row>
    <row r="39" spans="1:46" ht="14" customHeight="1" x14ac:dyDescent="0.15">
      <c r="A39" s="6"/>
      <c r="B39" s="6"/>
      <c r="Q39" s="6"/>
      <c r="Z39" s="6"/>
    </row>
    <row r="40" spans="1:46" s="2" customFormat="1" ht="14" hidden="1" customHeight="1" x14ac:dyDescent="0.15">
      <c r="C40" s="3"/>
      <c r="D40" s="3"/>
      <c r="E40" s="3"/>
      <c r="G40" s="3"/>
      <c r="AA40" s="22"/>
      <c r="AT40" s="24"/>
    </row>
    <row r="41" spans="1:46" ht="14" hidden="1" customHeight="1" x14ac:dyDescent="0.15"/>
    <row r="42" spans="1:46" s="607" customFormat="1" ht="14" hidden="1" customHeight="1" x14ac:dyDescent="0.15">
      <c r="A42" s="17"/>
      <c r="B42" s="17"/>
      <c r="D42" s="603"/>
      <c r="E42" s="3"/>
      <c r="F42" s="3"/>
      <c r="G42" s="3"/>
      <c r="K42" s="2"/>
      <c r="L42" s="2"/>
      <c r="AA42" s="545"/>
      <c r="AT42" s="708"/>
    </row>
    <row r="43" spans="1:46" s="607" customFormat="1" ht="14" customHeight="1" x14ac:dyDescent="0.2">
      <c r="A43" s="66" t="s">
        <v>535</v>
      </c>
      <c r="B43" s="17"/>
      <c r="C43" s="17"/>
      <c r="D43" s="603"/>
      <c r="E43" s="3"/>
      <c r="F43" s="3"/>
      <c r="G43" s="3"/>
      <c r="K43" s="2"/>
      <c r="L43" s="2"/>
      <c r="AA43" s="545"/>
      <c r="AT43" s="708"/>
    </row>
    <row r="44" spans="1:46" s="607" customFormat="1" ht="40" customHeight="1" thickBot="1" x14ac:dyDescent="0.2">
      <c r="A44" s="604"/>
      <c r="B44" s="605" t="s">
        <v>137</v>
      </c>
      <c r="C44" s="606" t="s">
        <v>232</v>
      </c>
      <c r="D44" s="606" t="s">
        <v>138</v>
      </c>
      <c r="E44" s="3"/>
      <c r="G44" s="608" t="s">
        <v>155</v>
      </c>
      <c r="H44" s="609" t="s">
        <v>139</v>
      </c>
      <c r="I44" s="609" t="s">
        <v>140</v>
      </c>
      <c r="K44" s="2"/>
      <c r="L44" s="2"/>
      <c r="AA44" s="545"/>
      <c r="AT44" s="708"/>
    </row>
    <row r="45" spans="1:46" s="614" customFormat="1" ht="14" customHeight="1" x14ac:dyDescent="0.15">
      <c r="A45" s="584" t="s">
        <v>235</v>
      </c>
      <c r="B45" s="610" t="s">
        <v>63</v>
      </c>
      <c r="C45" s="613">
        <v>0</v>
      </c>
      <c r="D45" s="764">
        <v>0</v>
      </c>
      <c r="E45" s="3"/>
      <c r="G45" s="814">
        <v>0</v>
      </c>
      <c r="H45" s="768">
        <v>0</v>
      </c>
      <c r="I45" s="768">
        <v>0</v>
      </c>
      <c r="AA45" s="545"/>
      <c r="AT45" s="709"/>
    </row>
    <row r="46" spans="1:46" s="614" customFormat="1" ht="14" customHeight="1" x14ac:dyDescent="0.15">
      <c r="A46" s="584" t="s">
        <v>235</v>
      </c>
      <c r="B46" s="612" t="s">
        <v>64</v>
      </c>
      <c r="C46" s="613">
        <v>0</v>
      </c>
      <c r="D46" s="764">
        <v>0</v>
      </c>
      <c r="E46" s="3"/>
      <c r="G46" s="814">
        <v>0</v>
      </c>
      <c r="H46" s="768">
        <v>0</v>
      </c>
      <c r="I46" s="768">
        <v>0</v>
      </c>
      <c r="AA46" s="545"/>
      <c r="AT46" s="709"/>
    </row>
    <row r="47" spans="1:46" s="614" customFormat="1" ht="14" customHeight="1" x14ac:dyDescent="0.15">
      <c r="A47" s="585" t="s">
        <v>236</v>
      </c>
      <c r="B47" s="586" t="s">
        <v>69</v>
      </c>
      <c r="C47" s="615">
        <v>0</v>
      </c>
      <c r="D47" s="813">
        <v>0</v>
      </c>
      <c r="E47" s="3"/>
      <c r="G47" s="816">
        <v>0</v>
      </c>
      <c r="H47" s="790">
        <v>0</v>
      </c>
      <c r="I47" s="790">
        <v>0</v>
      </c>
      <c r="AA47" s="545"/>
      <c r="AT47" s="709"/>
    </row>
    <row r="48" spans="1:46" s="614" customFormat="1" ht="14" customHeight="1" x14ac:dyDescent="0.15">
      <c r="A48" s="584" t="s">
        <v>234</v>
      </c>
      <c r="B48" s="581" t="s">
        <v>69</v>
      </c>
      <c r="C48" s="616">
        <v>0</v>
      </c>
      <c r="D48" s="765">
        <v>0</v>
      </c>
      <c r="E48" s="3"/>
      <c r="G48" s="815">
        <v>0</v>
      </c>
      <c r="H48" s="777">
        <v>0</v>
      </c>
      <c r="I48" s="777">
        <v>0</v>
      </c>
      <c r="AA48" s="545"/>
      <c r="AT48" s="709"/>
    </row>
    <row r="49" spans="1:46" s="614" customFormat="1" ht="14" customHeight="1" x14ac:dyDescent="0.15">
      <c r="A49" s="587" t="s">
        <v>231</v>
      </c>
      <c r="B49" s="617" t="s">
        <v>233</v>
      </c>
      <c r="C49" s="837">
        <v>0</v>
      </c>
      <c r="D49" s="765">
        <v>0</v>
      </c>
      <c r="E49" s="3"/>
      <c r="G49" s="611"/>
      <c r="H49" s="777">
        <v>0</v>
      </c>
      <c r="I49" s="777">
        <v>0</v>
      </c>
      <c r="AA49" s="545"/>
      <c r="AT49" s="709"/>
    </row>
    <row r="50" spans="1:46" ht="14" customHeight="1" x14ac:dyDescent="0.15">
      <c r="E50" s="3"/>
    </row>
    <row r="51" spans="1:46" ht="14" customHeight="1" x14ac:dyDescent="0.15">
      <c r="A51" s="17" t="s">
        <v>507</v>
      </c>
      <c r="B51" s="1453" t="s">
        <v>709</v>
      </c>
    </row>
    <row r="52" spans="1:46" ht="28" customHeight="1" x14ac:dyDescent="0.15">
      <c r="A52" s="123" t="s">
        <v>110</v>
      </c>
      <c r="B52" s="151" t="s">
        <v>430</v>
      </c>
      <c r="C52" s="151" t="s">
        <v>108</v>
      </c>
      <c r="D52" s="151" t="s">
        <v>112</v>
      </c>
      <c r="E52" s="151" t="s">
        <v>113</v>
      </c>
      <c r="F52" s="151" t="s">
        <v>114</v>
      </c>
      <c r="G52" s="123" t="s">
        <v>109</v>
      </c>
      <c r="H52" s="151" t="s">
        <v>681</v>
      </c>
    </row>
    <row r="53" spans="1:46" ht="14" customHeight="1" x14ac:dyDescent="0.15">
      <c r="A53" s="121" t="s">
        <v>429</v>
      </c>
      <c r="B53" s="705">
        <f>H53*Q37/10000</f>
        <v>0</v>
      </c>
      <c r="C53" s="121"/>
      <c r="D53" s="121"/>
      <c r="E53" s="121"/>
      <c r="F53" s="121"/>
      <c r="G53" s="130">
        <f>B53</f>
        <v>0</v>
      </c>
      <c r="H53" s="1439">
        <v>6.25E-2</v>
      </c>
    </row>
    <row r="54" spans="1:46" ht="14" customHeight="1" x14ac:dyDescent="0.15">
      <c r="A54" s="121" t="s">
        <v>103</v>
      </c>
      <c r="B54" s="121"/>
      <c r="C54" s="755">
        <v>0</v>
      </c>
      <c r="D54" s="755">
        <v>0</v>
      </c>
      <c r="E54" s="705">
        <f>H54*Q37/10000</f>
        <v>0</v>
      </c>
      <c r="F54" s="755">
        <v>0</v>
      </c>
      <c r="G54" s="130">
        <f t="shared" ref="G54:G59" si="18">SUM(C54:F54)</f>
        <v>0</v>
      </c>
      <c r="H54" s="1439">
        <v>7.6874999999999999E-2</v>
      </c>
    </row>
    <row r="55" spans="1:46" ht="14" customHeight="1" x14ac:dyDescent="0.15">
      <c r="A55" s="121" t="s">
        <v>104</v>
      </c>
      <c r="B55" s="121"/>
      <c r="C55" s="755">
        <v>0</v>
      </c>
      <c r="D55" s="755">
        <v>0</v>
      </c>
      <c r="E55" s="705">
        <f>H55*Q37/10000</f>
        <v>0</v>
      </c>
      <c r="F55" s="755">
        <v>0</v>
      </c>
      <c r="G55" s="130">
        <f t="shared" si="18"/>
        <v>0</v>
      </c>
      <c r="H55" s="1439">
        <v>0.22500000000000001</v>
      </c>
    </row>
    <row r="56" spans="1:46" ht="14" customHeight="1" x14ac:dyDescent="0.15">
      <c r="A56" s="121" t="s">
        <v>105</v>
      </c>
      <c r="B56" s="121"/>
      <c r="C56" s="755">
        <v>0</v>
      </c>
      <c r="D56" s="755">
        <v>0</v>
      </c>
      <c r="E56" s="705">
        <f>H56*Q37/10000</f>
        <v>0</v>
      </c>
      <c r="F56" s="755">
        <v>0</v>
      </c>
      <c r="G56" s="130">
        <f t="shared" si="18"/>
        <v>0</v>
      </c>
      <c r="H56" s="1439">
        <v>3.6249999999999998E-2</v>
      </c>
    </row>
    <row r="57" spans="1:46" ht="14" customHeight="1" x14ac:dyDescent="0.15">
      <c r="A57" s="121" t="s">
        <v>106</v>
      </c>
      <c r="B57" s="121"/>
      <c r="C57" s="755">
        <v>0</v>
      </c>
      <c r="D57" s="755">
        <v>0</v>
      </c>
      <c r="E57" s="705">
        <f>H57*Q37/10000</f>
        <v>0</v>
      </c>
      <c r="F57" s="755">
        <v>0</v>
      </c>
      <c r="G57" s="130">
        <f t="shared" si="18"/>
        <v>0</v>
      </c>
      <c r="H57" s="1439">
        <v>0.38937500000000003</v>
      </c>
    </row>
    <row r="58" spans="1:46" ht="14" customHeight="1" x14ac:dyDescent="0.15">
      <c r="A58" s="121" t="s">
        <v>107</v>
      </c>
      <c r="B58" s="121"/>
      <c r="C58" s="755">
        <v>0</v>
      </c>
      <c r="D58" s="755">
        <v>0</v>
      </c>
      <c r="E58" s="705">
        <f>H58*Q37/10000</f>
        <v>0</v>
      </c>
      <c r="F58" s="755">
        <v>0</v>
      </c>
      <c r="G58" s="130">
        <f t="shared" si="18"/>
        <v>0</v>
      </c>
      <c r="H58" s="1439">
        <v>0.125</v>
      </c>
    </row>
    <row r="59" spans="1:46" ht="14" customHeight="1" x14ac:dyDescent="0.15">
      <c r="A59" s="121" t="s">
        <v>428</v>
      </c>
      <c r="B59" s="121"/>
      <c r="C59" s="755">
        <v>0</v>
      </c>
      <c r="D59" s="755">
        <v>0</v>
      </c>
      <c r="E59" s="705">
        <f>H59*Q37/10000</f>
        <v>0</v>
      </c>
      <c r="F59" s="755">
        <v>0</v>
      </c>
      <c r="G59" s="130">
        <f t="shared" si="18"/>
        <v>0</v>
      </c>
      <c r="H59" s="1439">
        <f>1-SUM(H53:H58)</f>
        <v>8.4999999999999964E-2</v>
      </c>
    </row>
    <row r="60" spans="1:46" ht="14" customHeight="1" x14ac:dyDescent="0.15">
      <c r="A60" s="123" t="s">
        <v>109</v>
      </c>
      <c r="B60" s="537">
        <f>SUM(B53:B59)</f>
        <v>0</v>
      </c>
      <c r="C60" s="537">
        <f>SUM(C53:C59)</f>
        <v>0</v>
      </c>
      <c r="D60" s="537">
        <f t="shared" ref="D60:F60" si="19">SUM(D53:D59)</f>
        <v>0</v>
      </c>
      <c r="E60" s="537">
        <f t="shared" si="19"/>
        <v>0</v>
      </c>
      <c r="F60" s="537">
        <f t="shared" si="19"/>
        <v>0</v>
      </c>
      <c r="G60" s="129">
        <f>SUM(G53:G59)</f>
        <v>0</v>
      </c>
      <c r="H60" s="1424">
        <f>SUM(H53:H59)</f>
        <v>1</v>
      </c>
    </row>
    <row r="61" spans="1:46" ht="14" customHeight="1" x14ac:dyDescent="0.15">
      <c r="A61" s="6"/>
      <c r="B61" s="6"/>
    </row>
    <row r="62" spans="1:46" ht="14" customHeight="1" x14ac:dyDescent="0.15">
      <c r="A62" s="17" t="s">
        <v>510</v>
      </c>
      <c r="B62" s="6"/>
    </row>
    <row r="63" spans="1:46" ht="14" customHeight="1" x14ac:dyDescent="0.15">
      <c r="A63" s="123" t="s">
        <v>89</v>
      </c>
      <c r="B63" s="151" t="s">
        <v>511</v>
      </c>
      <c r="C63" s="151" t="s">
        <v>512</v>
      </c>
    </row>
    <row r="64" spans="1:46" ht="14" customHeight="1" x14ac:dyDescent="0.15">
      <c r="A64" s="5" t="s">
        <v>534</v>
      </c>
      <c r="B64" s="704">
        <v>0</v>
      </c>
      <c r="C64" s="762"/>
    </row>
    <row r="65" spans="1:38" ht="14" customHeight="1" x14ac:dyDescent="0.15">
      <c r="A65" s="5" t="s">
        <v>508</v>
      </c>
      <c r="B65" s="703">
        <f>G60*10000</f>
        <v>0</v>
      </c>
      <c r="C65" s="763" t="e">
        <f>(B65-B64)/B65</f>
        <v>#DIV/0!</v>
      </c>
    </row>
    <row r="66" spans="1:38" ht="14" customHeight="1" x14ac:dyDescent="0.15">
      <c r="A66" s="5" t="s">
        <v>509</v>
      </c>
      <c r="B66" s="703">
        <f>Q37</f>
        <v>0</v>
      </c>
      <c r="C66" s="763" t="e">
        <f>(B66-B64)/B66</f>
        <v>#DIV/0!</v>
      </c>
    </row>
    <row r="67" spans="1:38" ht="14" customHeight="1" x14ac:dyDescent="0.15">
      <c r="A67" s="6"/>
      <c r="B67" s="6"/>
    </row>
    <row r="68" spans="1:38" ht="14" customHeight="1" x14ac:dyDescent="0.15">
      <c r="A68" s="550" t="s">
        <v>48</v>
      </c>
      <c r="B68" s="64"/>
      <c r="F68" s="75"/>
      <c r="G68" s="75"/>
      <c r="H68" s="75"/>
      <c r="I68" s="75"/>
      <c r="J68" s="75"/>
      <c r="K68" s="75"/>
      <c r="L68" s="75"/>
      <c r="M68" s="75"/>
      <c r="N68" s="75"/>
      <c r="O68" s="75"/>
      <c r="P68" s="75"/>
      <c r="Q68" s="75"/>
      <c r="R68" s="2"/>
      <c r="S68" s="75"/>
      <c r="T68" s="75"/>
      <c r="U68" s="6"/>
      <c r="V68" s="75"/>
      <c r="W68" s="75"/>
      <c r="X68" s="75"/>
      <c r="Y68" s="75"/>
      <c r="Z68" s="75"/>
      <c r="AB68" s="75"/>
      <c r="AD68" s="75"/>
      <c r="AE68" s="75"/>
      <c r="AF68" s="75"/>
      <c r="AG68" s="75"/>
      <c r="AH68" s="75"/>
      <c r="AI68" s="6"/>
      <c r="AL68" s="75"/>
    </row>
    <row r="69" spans="1:38" ht="14" customHeight="1" x14ac:dyDescent="0.15">
      <c r="A69" s="551" t="s">
        <v>50</v>
      </c>
      <c r="B69" s="160"/>
      <c r="C69" s="160"/>
      <c r="U69" s="6"/>
      <c r="Z69" s="6"/>
      <c r="AI69" s="6"/>
    </row>
    <row r="70" spans="1:38" ht="14" customHeight="1" x14ac:dyDescent="0.15">
      <c r="A70" s="552" t="s">
        <v>433</v>
      </c>
      <c r="B70" s="552"/>
      <c r="C70" s="552"/>
      <c r="Z70" s="6"/>
    </row>
    <row r="71" spans="1:38" ht="14" customHeight="1" x14ac:dyDescent="0.15">
      <c r="A71" s="553"/>
      <c r="B71" s="39"/>
      <c r="Z71" s="6"/>
    </row>
    <row r="72" spans="1:38" ht="14" customHeight="1" x14ac:dyDescent="0.15">
      <c r="A72" s="553"/>
      <c r="B72" s="39"/>
      <c r="Z72" s="6"/>
    </row>
    <row r="73" spans="1:38" ht="14" customHeight="1" x14ac:dyDescent="0.15">
      <c r="A73" s="553"/>
      <c r="B73" s="39"/>
      <c r="Z73" s="6"/>
    </row>
    <row r="74" spans="1:38" ht="14" customHeight="1" x14ac:dyDescent="0.15">
      <c r="Z74" s="6"/>
    </row>
  </sheetData>
  <sheetProtection selectLockedCells="1"/>
  <mergeCells count="4">
    <mergeCell ref="A9:B9"/>
    <mergeCell ref="A18:B18"/>
    <mergeCell ref="A2:B2"/>
    <mergeCell ref="T18:U18"/>
  </mergeCells>
  <printOptions headings="1"/>
  <pageMargins left="0.7" right="0.7" top="0.75" bottom="0.75" header="0.3" footer="0.3"/>
  <pageSetup paperSize="9" scale="73" fitToWidth="0" fitToHeight="5" orientation="landscape" horizontalDpi="4294967292" verticalDpi="4294967292" r:id="rId1"/>
  <headerFooter>
    <oddHeader>&amp;R&amp;K000000&amp;A
Page &amp;P of &amp;N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89187-9348-D64F-8457-C27490D43701}">
  <sheetPr>
    <tabColor rgb="FFFFFF00"/>
  </sheetPr>
  <dimension ref="A1:D16"/>
  <sheetViews>
    <sheetView zoomScale="182" workbookViewId="0">
      <selection activeCell="B43" sqref="B43"/>
    </sheetView>
  </sheetViews>
  <sheetFormatPr baseColWidth="10" defaultColWidth="10.6640625" defaultRowHeight="14" customHeight="1" x14ac:dyDescent="0.15"/>
  <cols>
    <col min="1" max="1" width="32.33203125" style="17" customWidth="1"/>
    <col min="2" max="2" width="12.6640625" style="5" customWidth="1"/>
    <col min="3" max="3" width="10.6640625" style="6"/>
    <col min="4" max="4" width="27.1640625" style="6" customWidth="1"/>
    <col min="5" max="16384" width="10.6640625" style="6"/>
  </cols>
  <sheetData>
    <row r="1" spans="1:4" ht="14" customHeight="1" x14ac:dyDescent="0.15">
      <c r="A1" s="432" t="s">
        <v>692</v>
      </c>
      <c r="B1" s="432"/>
    </row>
    <row r="2" spans="1:4" ht="14" customHeight="1" x14ac:dyDescent="0.15">
      <c r="A2" s="31"/>
    </row>
    <row r="3" spans="1:4" ht="26" customHeight="1" x14ac:dyDescent="0.15">
      <c r="A3" s="849" t="s">
        <v>550</v>
      </c>
      <c r="B3" s="850" t="s">
        <v>300</v>
      </c>
    </row>
    <row r="4" spans="1:4" ht="14" customHeight="1" x14ac:dyDescent="0.15">
      <c r="A4" s="427" t="s">
        <v>322</v>
      </c>
      <c r="B4" s="860">
        <f>-'1off-site'!G6</f>
        <v>0</v>
      </c>
    </row>
    <row r="5" spans="1:4" ht="14" customHeight="1" x14ac:dyDescent="0.15">
      <c r="A5" s="465" t="s">
        <v>329</v>
      </c>
      <c r="B5" s="956">
        <f>'1off-site'!G12</f>
        <v>0</v>
      </c>
    </row>
    <row r="6" spans="1:4" ht="14" customHeight="1" x14ac:dyDescent="0.15">
      <c r="A6" s="442" t="s">
        <v>330</v>
      </c>
      <c r="B6" s="957">
        <f>'1off-site'!G14</f>
        <v>0</v>
      </c>
      <c r="D6" s="429" t="s">
        <v>369</v>
      </c>
    </row>
    <row r="7" spans="1:4" ht="14" customHeight="1" x14ac:dyDescent="0.15">
      <c r="A7" s="428" t="s">
        <v>331</v>
      </c>
      <c r="B7" s="911">
        <f>'1off-site'!G16</f>
        <v>0</v>
      </c>
      <c r="D7" s="1034" t="str">
        <f>D6</f>
        <v>formatting in case of surplus</v>
      </c>
    </row>
    <row r="8" spans="1:4" ht="40" customHeight="1" x14ac:dyDescent="0.15">
      <c r="A8" s="849" t="s">
        <v>551</v>
      </c>
      <c r="B8" s="850" t="s">
        <v>300</v>
      </c>
    </row>
    <row r="9" spans="1:4" ht="14" customHeight="1" x14ac:dyDescent="0.15">
      <c r="A9" s="542">
        <f>'1site'!B10</f>
        <v>0</v>
      </c>
      <c r="B9" s="860">
        <f>-'1site'!B30</f>
        <v>0</v>
      </c>
    </row>
    <row r="10" spans="1:4" ht="14" customHeight="1" x14ac:dyDescent="0.15">
      <c r="A10" s="538">
        <f>'1site'!C10</f>
        <v>0</v>
      </c>
      <c r="B10" s="860">
        <f>-'1site'!C30</f>
        <v>0</v>
      </c>
    </row>
    <row r="11" spans="1:4" ht="14" customHeight="1" x14ac:dyDescent="0.15">
      <c r="A11" s="539">
        <f>'1site'!D10</f>
        <v>0</v>
      </c>
      <c r="B11" s="860">
        <f>-'1site'!D30</f>
        <v>0</v>
      </c>
    </row>
    <row r="12" spans="1:4" ht="14" customHeight="1" x14ac:dyDescent="0.15">
      <c r="A12" s="540">
        <f>'1site'!E10</f>
        <v>0</v>
      </c>
      <c r="B12" s="860">
        <f>-'1site'!E30</f>
        <v>0</v>
      </c>
    </row>
    <row r="13" spans="1:4" ht="14" customHeight="1" x14ac:dyDescent="0.15">
      <c r="A13" s="541">
        <f>'1site'!F10</f>
        <v>0</v>
      </c>
      <c r="B13" s="860">
        <f>-'1site'!F30</f>
        <v>0</v>
      </c>
    </row>
    <row r="14" spans="1:4" ht="14" customHeight="1" x14ac:dyDescent="0.15">
      <c r="A14" s="428" t="s">
        <v>360</v>
      </c>
      <c r="B14" s="911">
        <f>-'1site'!G30</f>
        <v>0</v>
      </c>
    </row>
    <row r="15" spans="1:4" ht="14" customHeight="1" x14ac:dyDescent="0.15">
      <c r="B15" s="958"/>
    </row>
    <row r="16" spans="1:4" ht="14" customHeight="1" x14ac:dyDescent="0.15">
      <c r="A16" s="444" t="s">
        <v>332</v>
      </c>
      <c r="B16" s="959">
        <f>B14+B7</f>
        <v>0</v>
      </c>
      <c r="D16" s="1034">
        <f>D15</f>
        <v>0</v>
      </c>
    </row>
  </sheetData>
  <sheetProtection selectLockedCells="1"/>
  <printOptions headings="1"/>
  <pageMargins left="0.7" right="0.7" top="0.75" bottom="0.75" header="0.3" footer="0.3"/>
  <pageSetup paperSize="9" scale="73" fitToWidth="0" fitToHeight="5" orientation="landscape" horizontalDpi="4294967292" verticalDpi="4294967292" r:id="rId1"/>
  <headerFooter>
    <oddHeader>&amp;R&amp;K000000&amp;A
Page &amp;P of &amp;N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7CC92-87D9-E14C-9B01-0B721DE942E6}">
  <sheetPr>
    <tabColor rgb="FFFFFF00"/>
  </sheetPr>
  <dimension ref="A1:E22"/>
  <sheetViews>
    <sheetView zoomScale="200" zoomScaleNormal="200" workbookViewId="0">
      <selection activeCell="B22" sqref="B22"/>
    </sheetView>
  </sheetViews>
  <sheetFormatPr baseColWidth="10" defaultColWidth="10.6640625" defaultRowHeight="14" customHeight="1" x14ac:dyDescent="0.15"/>
  <cols>
    <col min="1" max="1" width="32.33203125" style="17" customWidth="1"/>
    <col min="2" max="2" width="12.6640625" style="5" customWidth="1"/>
    <col min="3" max="3" width="10.6640625" style="6"/>
    <col min="4" max="4" width="10" style="6" customWidth="1"/>
    <col min="5" max="5" width="28.1640625" style="6" customWidth="1"/>
    <col min="6" max="16384" width="10.6640625" style="6"/>
  </cols>
  <sheetData>
    <row r="1" spans="1:3" ht="14" customHeight="1" x14ac:dyDescent="0.15">
      <c r="A1" s="432" t="s">
        <v>291</v>
      </c>
      <c r="B1" s="432"/>
    </row>
    <row r="2" spans="1:3" ht="14" customHeight="1" x14ac:dyDescent="0.15">
      <c r="A2" s="31"/>
    </row>
    <row r="3" spans="1:3" ht="26" customHeight="1" x14ac:dyDescent="0.15">
      <c r="A3" s="433" t="s">
        <v>24</v>
      </c>
      <c r="B3" s="434" t="s">
        <v>300</v>
      </c>
      <c r="C3" s="6" t="s">
        <v>691</v>
      </c>
    </row>
    <row r="4" spans="1:3" ht="14" customHeight="1" x14ac:dyDescent="0.15">
      <c r="A4" s="427" t="s">
        <v>292</v>
      </c>
      <c r="B4" s="1030">
        <f>-'2neighborhood'!L6</f>
        <v>0</v>
      </c>
      <c r="C4" s="1423">
        <f>'2neighborhood'!D4</f>
        <v>0</v>
      </c>
    </row>
    <row r="5" spans="1:3" ht="14" customHeight="1" x14ac:dyDescent="0.15">
      <c r="A5" s="427" t="s">
        <v>20</v>
      </c>
      <c r="B5" s="1030">
        <f>-'2neighborhood'!L11</f>
        <v>0</v>
      </c>
      <c r="C5" s="966">
        <f>'2neighborhood'!D8</f>
        <v>0</v>
      </c>
    </row>
    <row r="6" spans="1:3" ht="14" customHeight="1" x14ac:dyDescent="0.15">
      <c r="A6" s="427" t="s">
        <v>21</v>
      </c>
      <c r="B6" s="1030">
        <f>-'2neighborhood'!L15</f>
        <v>0</v>
      </c>
      <c r="C6" s="966">
        <f>'2neighborhood'!D12</f>
        <v>0</v>
      </c>
    </row>
    <row r="7" spans="1:3" ht="14" customHeight="1" x14ac:dyDescent="0.15">
      <c r="A7" s="427" t="s">
        <v>22</v>
      </c>
      <c r="B7" s="1030">
        <f>-'2neighborhood'!L19</f>
        <v>0</v>
      </c>
      <c r="C7" s="966">
        <f>'2neighborhood'!D16</f>
        <v>0</v>
      </c>
    </row>
    <row r="8" spans="1:3" ht="14" customHeight="1" x14ac:dyDescent="0.15">
      <c r="A8" s="427" t="s">
        <v>157</v>
      </c>
      <c r="B8" s="1030">
        <f>-'2neighborhood'!L29</f>
        <v>0</v>
      </c>
      <c r="C8" s="1423">
        <f>SUM('2neighborhood'!D26:D27)/10000</f>
        <v>0</v>
      </c>
    </row>
    <row r="9" spans="1:3" ht="14" customHeight="1" x14ac:dyDescent="0.15">
      <c r="A9" s="428" t="s">
        <v>297</v>
      </c>
      <c r="B9" s="911">
        <f>SUM(B4:B8)</f>
        <v>0</v>
      </c>
      <c r="C9" s="1423">
        <f>C4</f>
        <v>0</v>
      </c>
    </row>
    <row r="10" spans="1:3" ht="14" customHeight="1" x14ac:dyDescent="0.15">
      <c r="A10" s="426" t="s">
        <v>305</v>
      </c>
      <c r="B10" s="1031">
        <f>'2neighborhood'!L56</f>
        <v>0</v>
      </c>
      <c r="C10" s="1423">
        <f>'2neighborhood'!K56/10000</f>
        <v>0</v>
      </c>
    </row>
    <row r="11" spans="1:3" ht="14" customHeight="1" x14ac:dyDescent="0.15">
      <c r="A11" s="426" t="s">
        <v>293</v>
      </c>
      <c r="B11" s="1031">
        <f>'2neighborhood'!L60</f>
        <v>0</v>
      </c>
      <c r="C11" s="1423">
        <f>'2neighborhood'!K60/10000</f>
        <v>0</v>
      </c>
    </row>
    <row r="12" spans="1:3" ht="14" customHeight="1" x14ac:dyDescent="0.15">
      <c r="A12" s="426" t="s">
        <v>294</v>
      </c>
      <c r="B12" s="1031">
        <f>'2neighborhood'!L63</f>
        <v>0</v>
      </c>
      <c r="C12" s="1423">
        <f>'2neighborhood'!K63/10000</f>
        <v>0</v>
      </c>
    </row>
    <row r="13" spans="1:3" ht="14" customHeight="1" x14ac:dyDescent="0.15">
      <c r="A13" s="426" t="s">
        <v>295</v>
      </c>
      <c r="B13" s="1031">
        <f>'2neighborhood'!L71</f>
        <v>0</v>
      </c>
      <c r="C13" s="1423">
        <f>'2neighborhood'!K71/10000</f>
        <v>0</v>
      </c>
    </row>
    <row r="14" spans="1:3" ht="14" customHeight="1" x14ac:dyDescent="0.15">
      <c r="A14" s="34" t="s">
        <v>686</v>
      </c>
      <c r="B14" s="1032">
        <f>SUM(B10:B13)</f>
        <v>0</v>
      </c>
      <c r="C14" s="1423">
        <f>'2neighborhood'!K76/10000</f>
        <v>0</v>
      </c>
    </row>
    <row r="15" spans="1:3" ht="14" customHeight="1" x14ac:dyDescent="0.15">
      <c r="A15" s="429" t="s">
        <v>690</v>
      </c>
      <c r="B15" s="1429">
        <f>'2neighborhood'!J82</f>
        <v>0</v>
      </c>
      <c r="C15" s="1423">
        <f>C8</f>
        <v>0</v>
      </c>
    </row>
    <row r="16" spans="1:3" ht="14" customHeight="1" x14ac:dyDescent="0.15">
      <c r="A16" s="424" t="s">
        <v>298</v>
      </c>
      <c r="B16" s="1033">
        <f>SUM(B14:B15)</f>
        <v>0</v>
      </c>
      <c r="C16" s="1423">
        <f>SUM(C14:C15)</f>
        <v>0</v>
      </c>
    </row>
    <row r="17" spans="1:5" ht="14" customHeight="1" x14ac:dyDescent="0.15">
      <c r="B17" s="3"/>
    </row>
    <row r="18" spans="1:5" ht="14" customHeight="1" x14ac:dyDescent="0.15">
      <c r="A18" s="438" t="s">
        <v>299</v>
      </c>
      <c r="B18" s="1034">
        <f>B9+B16</f>
        <v>0</v>
      </c>
      <c r="C18" s="1423">
        <f>C4</f>
        <v>0</v>
      </c>
      <c r="E18" s="1438" t="s">
        <v>359</v>
      </c>
    </row>
    <row r="19" spans="1:5" ht="14" customHeight="1" x14ac:dyDescent="0.15">
      <c r="A19" s="429" t="s">
        <v>296</v>
      </c>
      <c r="B19" s="1035" t="e">
        <f>-B18/B9</f>
        <v>#DIV/0!</v>
      </c>
      <c r="C19" s="1437"/>
      <c r="E19" s="446" t="s">
        <v>359</v>
      </c>
    </row>
    <row r="21" spans="1:5" ht="14" customHeight="1" x14ac:dyDescent="0.15">
      <c r="A21" s="430"/>
      <c r="B21" s="431"/>
      <c r="C21" s="28"/>
    </row>
    <row r="22" spans="1:5" ht="14" customHeight="1" x14ac:dyDescent="0.15">
      <c r="A22" s="39"/>
      <c r="B22" s="1451" t="s">
        <v>707</v>
      </c>
    </row>
  </sheetData>
  <sheetProtection selectLockedCells="1"/>
  <printOptions headings="1"/>
  <pageMargins left="0.7" right="0.7" top="0.75" bottom="0.75" header="0.3" footer="0.3"/>
  <pageSetup paperSize="9" scale="73" fitToWidth="0" fitToHeight="5" orientation="landscape" horizontalDpi="4294967292" verticalDpi="4294967292" r:id="rId1"/>
  <headerFooter>
    <oddHeader>&amp;R&amp;K000000&amp;A
Page &amp;P of &amp;N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695A9-F84D-3F44-97A0-E3E1FE57420D}">
  <sheetPr>
    <tabColor rgb="FFFFFF00"/>
  </sheetPr>
  <dimension ref="A1:H27"/>
  <sheetViews>
    <sheetView zoomScale="158" zoomScaleNormal="158" workbookViewId="0">
      <selection activeCell="B43" sqref="B43"/>
    </sheetView>
  </sheetViews>
  <sheetFormatPr baseColWidth="10" defaultColWidth="10.6640625" defaultRowHeight="14" customHeight="1" x14ac:dyDescent="0.15"/>
  <cols>
    <col min="1" max="1" width="32.33203125" style="17" customWidth="1"/>
    <col min="2" max="6" width="12.6640625" style="5" customWidth="1"/>
    <col min="7" max="7" width="10.6640625" style="6"/>
    <col min="8" max="8" width="27.1640625" style="6" customWidth="1"/>
    <col min="9" max="16384" width="10.6640625" style="6"/>
  </cols>
  <sheetData>
    <row r="1" spans="1:8" ht="14" customHeight="1" x14ac:dyDescent="0.15">
      <c r="A1" s="432" t="s">
        <v>307</v>
      </c>
      <c r="B1" s="432"/>
      <c r="C1" s="6"/>
      <c r="D1" s="6"/>
      <c r="E1" s="6"/>
      <c r="F1" s="6"/>
    </row>
    <row r="2" spans="1:8" ht="14" customHeight="1" x14ac:dyDescent="0.15">
      <c r="A2" s="31"/>
    </row>
    <row r="3" spans="1:8" ht="26" customHeight="1" x14ac:dyDescent="0.15">
      <c r="A3" s="435" t="s">
        <v>301</v>
      </c>
      <c r="B3" s="436" t="s">
        <v>63</v>
      </c>
      <c r="C3" s="436" t="s">
        <v>64</v>
      </c>
      <c r="D3" s="436" t="s">
        <v>367</v>
      </c>
      <c r="E3" s="436" t="s">
        <v>368</v>
      </c>
      <c r="F3" s="436" t="s">
        <v>219</v>
      </c>
    </row>
    <row r="4" spans="1:8" ht="14" customHeight="1" x14ac:dyDescent="0.15">
      <c r="A4" s="441" t="s">
        <v>308</v>
      </c>
      <c r="B4" s="1073">
        <f>'3cluster_artery'!B3</f>
        <v>0</v>
      </c>
      <c r="C4" s="1073">
        <f>'3cluster_secondary'!B3</f>
        <v>0</v>
      </c>
      <c r="D4" s="1073">
        <f>'3lcluster_local'!B3</f>
        <v>0</v>
      </c>
      <c r="E4" s="1073">
        <f>'3lcluster_local_2level'!B3</f>
        <v>0</v>
      </c>
      <c r="F4" s="1073">
        <f>SUM(B4:E4)</f>
        <v>0</v>
      </c>
    </row>
    <row r="5" spans="1:8" ht="26" customHeight="1" x14ac:dyDescent="0.15">
      <c r="A5" s="434" t="s">
        <v>490</v>
      </c>
      <c r="B5" s="434" t="s">
        <v>300</v>
      </c>
      <c r="C5" s="434" t="s">
        <v>300</v>
      </c>
      <c r="D5" s="434" t="s">
        <v>300</v>
      </c>
      <c r="E5" s="434" t="s">
        <v>300</v>
      </c>
      <c r="F5" s="434" t="s">
        <v>300</v>
      </c>
    </row>
    <row r="6" spans="1:8" ht="14" customHeight="1" x14ac:dyDescent="0.15">
      <c r="A6" s="437" t="s">
        <v>316</v>
      </c>
      <c r="B6" s="1063">
        <f>-'3cluster_artery'!I10</f>
        <v>0</v>
      </c>
      <c r="C6" s="1063">
        <f>-'3cluster_secondary'!I10</f>
        <v>0</v>
      </c>
      <c r="D6" s="1063">
        <f>-'3lcluster_local'!I10</f>
        <v>0</v>
      </c>
      <c r="E6" s="1063">
        <f>-('3lcluster_local_2level'!I10+'3lcluster_local_2level'!I22)</f>
        <v>0</v>
      </c>
      <c r="F6" s="1063">
        <f t="shared" ref="F6:F11" si="0">SUM(B6:E6)</f>
        <v>0</v>
      </c>
    </row>
    <row r="7" spans="1:8" ht="14" customHeight="1" x14ac:dyDescent="0.15">
      <c r="A7" s="437" t="s">
        <v>317</v>
      </c>
      <c r="B7" s="1063">
        <f>-'3cluster_artery'!I16</f>
        <v>0</v>
      </c>
      <c r="C7" s="1063">
        <f>-'3cluster_secondary'!I16</f>
        <v>0</v>
      </c>
      <c r="D7" s="1063">
        <f>-'3lcluster_local'!I16</f>
        <v>0</v>
      </c>
      <c r="E7" s="1063">
        <f>-('3lcluster_local_2level'!I16+'3lcluster_local_2level'!I28)</f>
        <v>0</v>
      </c>
      <c r="F7" s="1063">
        <f t="shared" si="0"/>
        <v>0</v>
      </c>
    </row>
    <row r="8" spans="1:8" ht="14" customHeight="1" x14ac:dyDescent="0.15">
      <c r="A8" s="439" t="s">
        <v>309</v>
      </c>
      <c r="B8" s="1064">
        <f>-'3cluster_artery'!I17</f>
        <v>0</v>
      </c>
      <c r="C8" s="1064">
        <f>-'3cluster_secondary'!I17</f>
        <v>0</v>
      </c>
      <c r="D8" s="1064">
        <f>-'3lcluster_local'!I17</f>
        <v>0</v>
      </c>
      <c r="E8" s="1064">
        <f>-'3lcluster_local_2level'!I17-'3lcluster_local_2level'!I29</f>
        <v>0</v>
      </c>
      <c r="F8" s="1065">
        <f t="shared" si="0"/>
        <v>0</v>
      </c>
    </row>
    <row r="9" spans="1:8" ht="14" customHeight="1" x14ac:dyDescent="0.15">
      <c r="A9" s="426" t="s">
        <v>318</v>
      </c>
      <c r="B9" s="1066">
        <f>'3cluster_artery'!I23</f>
        <v>0</v>
      </c>
      <c r="C9" s="1066">
        <f>'3cluster_secondary'!I23</f>
        <v>0</v>
      </c>
      <c r="D9" s="1066">
        <f>'3lcluster_local'!I23</f>
        <v>0</v>
      </c>
      <c r="E9" s="1066">
        <f>'3lcluster_local_2level'!I44+'3lcluster_local_2level'!I37</f>
        <v>0</v>
      </c>
      <c r="F9" s="1067">
        <f t="shared" si="0"/>
        <v>0</v>
      </c>
    </row>
    <row r="10" spans="1:8" ht="14" customHeight="1" x14ac:dyDescent="0.15">
      <c r="A10" s="426" t="s">
        <v>319</v>
      </c>
      <c r="B10" s="1066">
        <f>SUM('3cluster_artery'!I24:I25)</f>
        <v>0</v>
      </c>
      <c r="C10" s="1066">
        <f>SUM('3cluster_secondary'!I24:I25)</f>
        <v>0</v>
      </c>
      <c r="D10" s="1066">
        <f>SUM('3lcluster_local'!I24:I25)</f>
        <v>0</v>
      </c>
      <c r="E10" s="1066">
        <f>SUM('3lcluster_local_2level'!I38:I39)+SUM('3lcluster_local_2level'!I45:I46)</f>
        <v>0</v>
      </c>
      <c r="F10" s="1067">
        <f t="shared" si="0"/>
        <v>0</v>
      </c>
    </row>
    <row r="11" spans="1:8" ht="14" customHeight="1" x14ac:dyDescent="0.15">
      <c r="A11" s="425" t="s">
        <v>310</v>
      </c>
      <c r="B11" s="1068">
        <f>'3cluster_artery'!I26</f>
        <v>0</v>
      </c>
      <c r="C11" s="1068">
        <f>'3cluster_secondary'!I26</f>
        <v>0</v>
      </c>
      <c r="D11" s="1068">
        <f>'3lcluster_local'!I26</f>
        <v>0</v>
      </c>
      <c r="E11" s="1068">
        <f>'3lcluster_local_2level'!I47</f>
        <v>0</v>
      </c>
      <c r="F11" s="1069">
        <f t="shared" si="0"/>
        <v>0</v>
      </c>
    </row>
    <row r="12" spans="1:8" ht="14" customHeight="1" x14ac:dyDescent="0.15">
      <c r="B12" s="1066"/>
      <c r="C12" s="1066"/>
      <c r="D12" s="1066"/>
      <c r="E12" s="1066"/>
      <c r="F12" s="961"/>
    </row>
    <row r="13" spans="1:8" ht="14" customHeight="1" x14ac:dyDescent="0.15">
      <c r="A13" s="440" t="s">
        <v>311</v>
      </c>
      <c r="B13" s="1070">
        <f>B11+B8</f>
        <v>0</v>
      </c>
      <c r="C13" s="1070">
        <f>C11+C8</f>
        <v>0</v>
      </c>
      <c r="D13" s="1070">
        <f>D11+D8</f>
        <v>0</v>
      </c>
      <c r="E13" s="1070">
        <f>E11+E8</f>
        <v>0</v>
      </c>
      <c r="F13" s="1070">
        <f>F11+F8</f>
        <v>0</v>
      </c>
      <c r="H13" s="445" t="s">
        <v>359</v>
      </c>
    </row>
    <row r="14" spans="1:8" ht="14" customHeight="1" x14ac:dyDescent="0.15">
      <c r="A14" s="429" t="s">
        <v>296</v>
      </c>
      <c r="B14" s="1071">
        <f>IF(B8=0,0,-B13/B8)</f>
        <v>0</v>
      </c>
      <c r="C14" s="1071">
        <f>IF(C8=0,0,-C13/C8)</f>
        <v>0</v>
      </c>
      <c r="D14" s="1071">
        <f>IF(D8=0,0,-D13/D8)</f>
        <v>0</v>
      </c>
      <c r="E14" s="1071">
        <f>IF(E8=0,0,-E13/E8)</f>
        <v>0</v>
      </c>
      <c r="F14" s="1071">
        <f>IF(F8=0,0,-F13/F8)</f>
        <v>0</v>
      </c>
      <c r="H14" s="446" t="s">
        <v>359</v>
      </c>
    </row>
    <row r="16" spans="1:8" ht="26" customHeight="1" x14ac:dyDescent="0.15">
      <c r="A16" s="435" t="s">
        <v>301</v>
      </c>
      <c r="B16" s="436" t="s">
        <v>63</v>
      </c>
      <c r="C16" s="436" t="s">
        <v>64</v>
      </c>
      <c r="D16" s="436" t="s">
        <v>367</v>
      </c>
      <c r="E16" s="436" t="s">
        <v>368</v>
      </c>
      <c r="F16" s="436" t="s">
        <v>111</v>
      </c>
    </row>
    <row r="17" spans="1:8" ht="14" customHeight="1" x14ac:dyDescent="0.15">
      <c r="A17" s="441" t="s">
        <v>308</v>
      </c>
      <c r="B17" s="1072">
        <f t="shared" ref="B17:E17" si="1">B4</f>
        <v>0</v>
      </c>
      <c r="C17" s="1072">
        <f t="shared" si="1"/>
        <v>0</v>
      </c>
      <c r="D17" s="1072">
        <f t="shared" si="1"/>
        <v>0</v>
      </c>
      <c r="E17" s="1072">
        <f t="shared" si="1"/>
        <v>0</v>
      </c>
      <c r="F17" s="1072">
        <f>F4</f>
        <v>0</v>
      </c>
    </row>
    <row r="18" spans="1:8" ht="26" customHeight="1" x14ac:dyDescent="0.15">
      <c r="A18" s="434" t="s">
        <v>314</v>
      </c>
      <c r="B18" s="434" t="s">
        <v>300</v>
      </c>
      <c r="C18" s="434" t="s">
        <v>300</v>
      </c>
      <c r="D18" s="434" t="s">
        <v>300</v>
      </c>
      <c r="E18" s="434" t="s">
        <v>300</v>
      </c>
      <c r="F18" s="434" t="s">
        <v>300</v>
      </c>
    </row>
    <row r="19" spans="1:8" ht="14" customHeight="1" x14ac:dyDescent="0.15">
      <c r="A19" s="427" t="s">
        <v>302</v>
      </c>
      <c r="B19" s="1063">
        <f>IF(B4=0,0,'3db'!B6/B4)</f>
        <v>0</v>
      </c>
      <c r="C19" s="1063">
        <f>IF(C4=0,0,'3db'!C6/C4)</f>
        <v>0</v>
      </c>
      <c r="D19" s="1063">
        <f>IF(D4=0,0,'3db'!D6/D4)</f>
        <v>0</v>
      </c>
      <c r="E19" s="1063">
        <f>IF(E4=0,0,'3db'!E6/E4)</f>
        <v>0</v>
      </c>
      <c r="F19" s="1063">
        <f>IF(F4=0,0,'3db'!F6/F4)</f>
        <v>0</v>
      </c>
    </row>
    <row r="20" spans="1:8" ht="14" customHeight="1" x14ac:dyDescent="0.15">
      <c r="A20" s="427" t="s">
        <v>303</v>
      </c>
      <c r="B20" s="1063">
        <f>IF(B4=0,0,'3db'!B7/B4)</f>
        <v>0</v>
      </c>
      <c r="C20" s="1063">
        <f>IF(C4=0,0,'3db'!C7/C4)</f>
        <v>0</v>
      </c>
      <c r="D20" s="1063">
        <f>IF(D4=0,0,'3db'!D7/D4)</f>
        <v>0</v>
      </c>
      <c r="E20" s="1063">
        <f>IF(E4=0,0,'3db'!E7/E4)</f>
        <v>0</v>
      </c>
      <c r="F20" s="1063">
        <f>IF(F4=0,0,'3db'!F7/F4)</f>
        <v>0</v>
      </c>
    </row>
    <row r="21" spans="1:8" ht="14" customHeight="1" x14ac:dyDescent="0.15">
      <c r="A21" s="439" t="s">
        <v>297</v>
      </c>
      <c r="B21" s="1064">
        <f>IF(B4=0,0,'3db'!B8/B4)</f>
        <v>0</v>
      </c>
      <c r="C21" s="1064">
        <f>IF(C4=0,0,'3db'!C8/C4)</f>
        <v>0</v>
      </c>
      <c r="D21" s="1064">
        <f>IF(D4=0,0,'3db'!D8/D4)</f>
        <v>0</v>
      </c>
      <c r="E21" s="1064">
        <f>IF(E4=0,0,'3db'!E8/E4)</f>
        <v>0</v>
      </c>
      <c r="F21" s="1064">
        <f>IF(F4=0,0,'3db'!F8/F4)</f>
        <v>0</v>
      </c>
    </row>
    <row r="22" spans="1:8" ht="14" customHeight="1" x14ac:dyDescent="0.15">
      <c r="A22" s="426" t="s">
        <v>306</v>
      </c>
      <c r="B22" s="1066">
        <f>IF(B4=0,0,'3db'!B9/B4)</f>
        <v>0</v>
      </c>
      <c r="C22" s="1066">
        <f>IF(C4=0,0,'3db'!C9/C4)</f>
        <v>0</v>
      </c>
      <c r="D22" s="1066">
        <f>IF(D4=0,0,'3db'!D9/D4)</f>
        <v>0</v>
      </c>
      <c r="E22" s="1066">
        <f>IF(E4=0,0,'3db'!E9/E4)</f>
        <v>0</v>
      </c>
      <c r="F22" s="1066">
        <f>IF(F4=0,0,'3db'!F9/F4)</f>
        <v>0</v>
      </c>
    </row>
    <row r="23" spans="1:8" ht="14" customHeight="1" x14ac:dyDescent="0.15">
      <c r="A23" s="426" t="s">
        <v>304</v>
      </c>
      <c r="B23" s="1066">
        <f>IF(B4=0,0,'3db'!B10/B4)</f>
        <v>0</v>
      </c>
      <c r="C23" s="1066">
        <f>IF(C4=0,0,'3db'!C10/C4)</f>
        <v>0</v>
      </c>
      <c r="D23" s="1066">
        <f>IF(D4=0,0,'3db'!D10/D4)</f>
        <v>0</v>
      </c>
      <c r="E23" s="1066">
        <f>IF(E4=0,0,'3db'!E10/E4)</f>
        <v>0</v>
      </c>
      <c r="F23" s="1066">
        <f>IF(F4=0,0,'3db'!F10/F4)</f>
        <v>0</v>
      </c>
    </row>
    <row r="24" spans="1:8" ht="14" customHeight="1" x14ac:dyDescent="0.15">
      <c r="A24" s="425" t="s">
        <v>298</v>
      </c>
      <c r="B24" s="1068">
        <f>IF(B4=0,0,'3db'!B11/B4)</f>
        <v>0</v>
      </c>
      <c r="C24" s="1068">
        <f>IF(C4=0,0,'3db'!C11/C4)</f>
        <v>0</v>
      </c>
      <c r="D24" s="1068">
        <f>IF(D4=0,0,'3db'!D11/D4)</f>
        <v>0</v>
      </c>
      <c r="E24" s="1068">
        <f>IF(E4=0,0,'3db'!E11/E4)</f>
        <v>0</v>
      </c>
      <c r="F24" s="1068">
        <f>IF(F4=0,0,'3db'!F11/F4)</f>
        <v>0</v>
      </c>
    </row>
    <row r="25" spans="1:8" ht="14" customHeight="1" x14ac:dyDescent="0.15">
      <c r="B25" s="1066"/>
      <c r="C25" s="1066"/>
      <c r="D25" s="1066"/>
      <c r="E25" s="1066"/>
      <c r="F25" s="1066"/>
    </row>
    <row r="26" spans="1:8" ht="14" customHeight="1" x14ac:dyDescent="0.15">
      <c r="A26" s="438" t="s">
        <v>299</v>
      </c>
      <c r="B26" s="1070">
        <f>IF(B4=0,0,'3db'!B13/B4)</f>
        <v>0</v>
      </c>
      <c r="C26" s="1070">
        <f>IF(C4=0,0,'3db'!C13/C4)</f>
        <v>0</v>
      </c>
      <c r="D26" s="1070">
        <f>IF(D4=0,0,'3db'!D13/D4)</f>
        <v>0</v>
      </c>
      <c r="E26" s="1070">
        <f>IF(E4=0,0,'3db'!E13/E4)</f>
        <v>0</v>
      </c>
      <c r="F26" s="1070">
        <f>IF(F4=0,0,'3db'!F13/F4)</f>
        <v>0</v>
      </c>
      <c r="H26" s="445" t="s">
        <v>359</v>
      </c>
    </row>
    <row r="27" spans="1:8" ht="14" customHeight="1" x14ac:dyDescent="0.15">
      <c r="A27" s="429" t="s">
        <v>296</v>
      </c>
      <c r="B27" s="1071">
        <f>IF(B21=0,0,-B26/B21)</f>
        <v>0</v>
      </c>
      <c r="C27" s="1071">
        <f>IF(C21=0,0,-C26/C21)</f>
        <v>0</v>
      </c>
      <c r="D27" s="1071">
        <f>IF(D21=0,0,-D26/D21)</f>
        <v>0</v>
      </c>
      <c r="E27" s="1071">
        <f>IF(E21=0,0,-E26/E21)</f>
        <v>0</v>
      </c>
      <c r="F27" s="1071">
        <f>IF(F21=0,0,-F26/F21)</f>
        <v>0</v>
      </c>
      <c r="H27" s="446" t="s">
        <v>359</v>
      </c>
    </row>
  </sheetData>
  <sheetProtection selectLockedCells="1"/>
  <printOptions headings="1"/>
  <pageMargins left="0.7" right="0.7" top="0.75" bottom="0.75" header="0.3" footer="0.3"/>
  <pageSetup paperSize="9" scale="73" fitToWidth="0" fitToHeight="5" orientation="landscape" horizontalDpi="4294967292" verticalDpi="4294967292" r:id="rId1"/>
  <headerFooter>
    <oddHeader>&amp;R&amp;K000000&amp;A
Page &amp;P of &amp;N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AC91A-BE12-114B-9D8E-E18E36591490}">
  <sheetPr>
    <tabColor rgb="FFFFFF00"/>
  </sheetPr>
  <dimension ref="A1:U27"/>
  <sheetViews>
    <sheetView zoomScale="130" zoomScaleNormal="130" workbookViewId="0">
      <selection activeCell="B43" sqref="B43"/>
    </sheetView>
  </sheetViews>
  <sheetFormatPr baseColWidth="10" defaultColWidth="10.6640625" defaultRowHeight="14" customHeight="1" x14ac:dyDescent="0.15"/>
  <cols>
    <col min="1" max="1" width="29.6640625" style="17" customWidth="1"/>
    <col min="2" max="6" width="11.6640625" style="5" hidden="1" customWidth="1"/>
    <col min="7" max="12" width="11.6640625" style="6" hidden="1" customWidth="1"/>
    <col min="13" max="18" width="11.6640625" style="6" customWidth="1"/>
    <col min="19" max="19" width="11.5" style="6" bestFit="1" customWidth="1"/>
    <col min="20" max="20" width="2.5" style="6" customWidth="1"/>
    <col min="21" max="21" width="21.6640625" style="6" customWidth="1"/>
    <col min="22" max="16384" width="10.6640625" style="6"/>
  </cols>
  <sheetData>
    <row r="1" spans="1:19" ht="14" customHeight="1" x14ac:dyDescent="0.15">
      <c r="A1" s="432" t="s">
        <v>366</v>
      </c>
      <c r="B1" s="432"/>
      <c r="C1" s="6"/>
      <c r="D1" s="6"/>
      <c r="E1" s="6"/>
      <c r="F1" s="6"/>
    </row>
    <row r="2" spans="1:19" s="109" customFormat="1" ht="48" customHeight="1" thickBot="1" x14ac:dyDescent="0.2">
      <c r="A2" s="471" t="s">
        <v>379</v>
      </c>
      <c r="B2" s="403" t="s">
        <v>143</v>
      </c>
      <c r="C2" s="404" t="s">
        <v>144</v>
      </c>
      <c r="D2" s="405" t="s">
        <v>145</v>
      </c>
      <c r="E2" s="935" t="s">
        <v>146</v>
      </c>
      <c r="F2" s="935" t="s">
        <v>628</v>
      </c>
      <c r="G2" s="470" t="s">
        <v>630</v>
      </c>
      <c r="H2" s="406" t="s">
        <v>147</v>
      </c>
      <c r="I2" s="407" t="s">
        <v>148</v>
      </c>
      <c r="J2" s="408" t="s">
        <v>16</v>
      </c>
      <c r="K2" s="408" t="s">
        <v>627</v>
      </c>
      <c r="L2" s="470" t="s">
        <v>631</v>
      </c>
      <c r="M2" s="409" t="s">
        <v>625</v>
      </c>
      <c r="N2" s="410" t="s">
        <v>475</v>
      </c>
      <c r="O2" s="410" t="s">
        <v>626</v>
      </c>
      <c r="P2" s="1412" t="s">
        <v>629</v>
      </c>
      <c r="Q2" s="1413" t="s">
        <v>623</v>
      </c>
      <c r="R2" s="1411" t="s">
        <v>624</v>
      </c>
      <c r="S2" s="481" t="s">
        <v>79</v>
      </c>
    </row>
    <row r="3" spans="1:19" ht="14" customHeight="1" x14ac:dyDescent="0.15">
      <c r="A3" s="474" t="s">
        <v>491</v>
      </c>
      <c r="B3" s="1136">
        <f>IF('4buildings'!B29=0,'4buildings'!B10,0)</f>
        <v>0</v>
      </c>
      <c r="C3" s="1136">
        <f>IF('4buildings'!C29=0,'4buildings'!C10,0)</f>
        <v>0</v>
      </c>
      <c r="D3" s="1136">
        <f>IF('4buildings'!D29=0,'4buildings'!D10,0)</f>
        <v>0</v>
      </c>
      <c r="E3" s="1136">
        <f>IF('4buildings'!E29=0,'4buildings'!E10,0)</f>
        <v>0</v>
      </c>
      <c r="F3" s="1136">
        <f>IF('4buildings'!F29=0,'4buildings'!F10,0)</f>
        <v>0</v>
      </c>
      <c r="G3" s="1137">
        <f>IF('4buildings'!G29=0,'4buildings'!G10,0)</f>
        <v>0</v>
      </c>
      <c r="H3" s="1136">
        <f>IF('4buildings'!H29=0,'4buildings'!H10,0)</f>
        <v>0</v>
      </c>
      <c r="I3" s="1136">
        <f>IF('4buildings'!I29=0,'4buildings'!I10,0)</f>
        <v>0</v>
      </c>
      <c r="J3" s="1136">
        <f>IF('4buildings'!J29=0,'4buildings'!J10,0)</f>
        <v>0</v>
      </c>
      <c r="K3" s="1136">
        <f>IF('4buildings'!K29=0,'4buildings'!K10,0)</f>
        <v>0</v>
      </c>
      <c r="L3" s="1137">
        <f>IF('4buildings'!L29=0,'4buildings'!L10,0)</f>
        <v>0</v>
      </c>
      <c r="M3" s="1136">
        <f>IF('4buildings'!M29=0,'4buildings'!M10,0)</f>
        <v>0</v>
      </c>
      <c r="N3" s="1136">
        <f>IF('4buildings'!N29=0,'4buildings'!N10,0)</f>
        <v>0</v>
      </c>
      <c r="O3" s="1136">
        <f>IF('4buildings'!O29=0,'4buildings'!O10,0)</f>
        <v>0</v>
      </c>
      <c r="P3" s="1138">
        <f>IF('4buildings'!P29=0,'4buildings'!P10,0)</f>
        <v>0</v>
      </c>
      <c r="Q3" s="1136">
        <f>IF('4buildings'!Q29=0,'4buildings'!Q10,0)</f>
        <v>0</v>
      </c>
      <c r="R3" s="1136">
        <f>IF('4buildings'!R29=0,'4buildings'!R10,0)</f>
        <v>0</v>
      </c>
      <c r="S3" s="1139">
        <f>SUM(B3:R3)</f>
        <v>0</v>
      </c>
    </row>
    <row r="4" spans="1:19" ht="25" customHeight="1" x14ac:dyDescent="0.15">
      <c r="A4" s="475" t="s">
        <v>315</v>
      </c>
      <c r="B4" s="434" t="s">
        <v>300</v>
      </c>
      <c r="C4" s="434" t="s">
        <v>300</v>
      </c>
      <c r="D4" s="434" t="s">
        <v>300</v>
      </c>
      <c r="E4" s="434" t="s">
        <v>300</v>
      </c>
      <c r="F4" s="434" t="s">
        <v>300</v>
      </c>
      <c r="G4" s="505" t="s">
        <v>300</v>
      </c>
      <c r="H4" s="434" t="s">
        <v>300</v>
      </c>
      <c r="I4" s="434" t="s">
        <v>300</v>
      </c>
      <c r="J4" s="434" t="s">
        <v>300</v>
      </c>
      <c r="K4" s="434" t="s">
        <v>300</v>
      </c>
      <c r="L4" s="505" t="s">
        <v>300</v>
      </c>
      <c r="M4" s="434" t="s">
        <v>300</v>
      </c>
      <c r="N4" s="434" t="s">
        <v>300</v>
      </c>
      <c r="O4" s="434" t="s">
        <v>300</v>
      </c>
      <c r="P4" s="509" t="s">
        <v>300</v>
      </c>
      <c r="Q4" s="434" t="s">
        <v>300</v>
      </c>
      <c r="R4" s="434" t="s">
        <v>300</v>
      </c>
      <c r="S4" s="472" t="s">
        <v>300</v>
      </c>
    </row>
    <row r="5" spans="1:19" ht="14" customHeight="1" x14ac:dyDescent="0.15">
      <c r="A5" s="512" t="s">
        <v>389</v>
      </c>
      <c r="B5" s="856">
        <f>B3*'4buildings'!B35</f>
        <v>0</v>
      </c>
      <c r="C5" s="856">
        <f>C3*'4buildings'!C35</f>
        <v>0</v>
      </c>
      <c r="D5" s="856">
        <f>D3*'4buildings'!D35</f>
        <v>0</v>
      </c>
      <c r="E5" s="856">
        <f>E3*'4buildings'!E35</f>
        <v>0</v>
      </c>
      <c r="F5" s="856">
        <f>F3*'4buildings'!F35</f>
        <v>0</v>
      </c>
      <c r="G5" s="1140"/>
      <c r="H5" s="982"/>
      <c r="I5" s="982"/>
      <c r="J5" s="982"/>
      <c r="K5" s="982"/>
      <c r="L5" s="1140"/>
      <c r="M5" s="982"/>
      <c r="N5" s="982"/>
      <c r="O5" s="982"/>
      <c r="P5" s="1141"/>
      <c r="Q5" s="982"/>
      <c r="R5" s="982"/>
      <c r="S5" s="857">
        <f t="shared" ref="S5:S11" si="0">SUM(B5:R5)</f>
        <v>0</v>
      </c>
    </row>
    <row r="6" spans="1:19" ht="14" customHeight="1" x14ac:dyDescent="0.15">
      <c r="A6" s="513" t="s">
        <v>392</v>
      </c>
      <c r="B6" s="856"/>
      <c r="C6" s="856"/>
      <c r="D6" s="856"/>
      <c r="E6" s="856"/>
      <c r="F6" s="856"/>
      <c r="G6" s="858">
        <f>G3*'4buildings'!G35</f>
        <v>0</v>
      </c>
      <c r="H6" s="982"/>
      <c r="I6" s="982"/>
      <c r="J6" s="982"/>
      <c r="K6" s="982"/>
      <c r="L6" s="858"/>
      <c r="M6" s="856"/>
      <c r="N6" s="856"/>
      <c r="O6" s="856"/>
      <c r="P6" s="859"/>
      <c r="Q6" s="856"/>
      <c r="R6" s="856"/>
      <c r="S6" s="857">
        <f t="shared" si="0"/>
        <v>0</v>
      </c>
    </row>
    <row r="7" spans="1:19" ht="14" customHeight="1" x14ac:dyDescent="0.15">
      <c r="A7" s="514" t="s">
        <v>390</v>
      </c>
      <c r="B7" s="856"/>
      <c r="C7" s="856"/>
      <c r="D7" s="856"/>
      <c r="E7" s="856"/>
      <c r="F7" s="856"/>
      <c r="G7" s="858"/>
      <c r="H7" s="856">
        <f>H3*'4buildings'!H35</f>
        <v>0</v>
      </c>
      <c r="I7" s="856">
        <f>I3*'4buildings'!I35</f>
        <v>0</v>
      </c>
      <c r="J7" s="856">
        <f>J3*'4buildings'!J35</f>
        <v>0</v>
      </c>
      <c r="K7" s="856">
        <f>K3*'4buildings'!K35</f>
        <v>0</v>
      </c>
      <c r="L7" s="858"/>
      <c r="M7" s="982"/>
      <c r="N7" s="982"/>
      <c r="O7" s="982"/>
      <c r="P7" s="859"/>
      <c r="Q7" s="856"/>
      <c r="R7" s="856"/>
      <c r="S7" s="857">
        <f t="shared" si="0"/>
        <v>0</v>
      </c>
    </row>
    <row r="8" spans="1:19" ht="14" customHeight="1" x14ac:dyDescent="0.15">
      <c r="A8" s="513" t="s">
        <v>393</v>
      </c>
      <c r="B8" s="856"/>
      <c r="C8" s="856"/>
      <c r="D8" s="856"/>
      <c r="E8" s="856"/>
      <c r="F8" s="856"/>
      <c r="G8" s="858"/>
      <c r="H8" s="856"/>
      <c r="I8" s="856"/>
      <c r="J8" s="856"/>
      <c r="K8" s="856"/>
      <c r="L8" s="858">
        <f>L3*'4buildings'!L35</f>
        <v>0</v>
      </c>
      <c r="M8" s="856"/>
      <c r="N8" s="856"/>
      <c r="O8" s="856"/>
      <c r="P8" s="859"/>
      <c r="Q8" s="856"/>
      <c r="R8" s="856"/>
      <c r="S8" s="857">
        <f t="shared" si="0"/>
        <v>0</v>
      </c>
    </row>
    <row r="9" spans="1:19" ht="14" customHeight="1" x14ac:dyDescent="0.15">
      <c r="A9" s="515" t="s">
        <v>391</v>
      </c>
      <c r="B9" s="856"/>
      <c r="C9" s="856"/>
      <c r="D9" s="856"/>
      <c r="E9" s="856"/>
      <c r="F9" s="856"/>
      <c r="G9" s="858"/>
      <c r="H9" s="856"/>
      <c r="I9" s="856"/>
      <c r="J9" s="856"/>
      <c r="K9" s="856"/>
      <c r="L9" s="858"/>
      <c r="M9" s="856">
        <f>M3*'4buildings'!M35</f>
        <v>0</v>
      </c>
      <c r="N9" s="856">
        <f>N3*'4buildings'!N35</f>
        <v>0</v>
      </c>
      <c r="O9" s="856">
        <f>O3*'4buildings'!O35</f>
        <v>0</v>
      </c>
      <c r="P9" s="859"/>
      <c r="Q9" s="856"/>
      <c r="R9" s="856"/>
      <c r="S9" s="857">
        <f t="shared" si="0"/>
        <v>0</v>
      </c>
    </row>
    <row r="10" spans="1:19" ht="14" customHeight="1" x14ac:dyDescent="0.15">
      <c r="A10" s="513" t="s">
        <v>394</v>
      </c>
      <c r="B10" s="856"/>
      <c r="C10" s="856"/>
      <c r="D10" s="856"/>
      <c r="E10" s="856"/>
      <c r="F10" s="856"/>
      <c r="G10" s="858"/>
      <c r="H10" s="856"/>
      <c r="I10" s="856"/>
      <c r="J10" s="856"/>
      <c r="K10" s="856"/>
      <c r="L10" s="858"/>
      <c r="M10" s="856"/>
      <c r="N10" s="856"/>
      <c r="O10" s="856"/>
      <c r="P10" s="859">
        <f>P3*'4buildings'!P35</f>
        <v>0</v>
      </c>
      <c r="Q10" s="856">
        <f>Q3*'4buildings'!Q35</f>
        <v>0</v>
      </c>
      <c r="R10" s="856">
        <f>R3*'4buildings'!R35</f>
        <v>0</v>
      </c>
      <c r="S10" s="857">
        <f t="shared" si="0"/>
        <v>0</v>
      </c>
    </row>
    <row r="11" spans="1:19" ht="14" customHeight="1" x14ac:dyDescent="0.15">
      <c r="A11" s="502" t="s">
        <v>395</v>
      </c>
      <c r="B11" s="503">
        <f>B5</f>
        <v>0</v>
      </c>
      <c r="C11" s="503">
        <f>C5</f>
        <v>0</v>
      </c>
      <c r="D11" s="503">
        <f>D5</f>
        <v>0</v>
      </c>
      <c r="E11" s="503">
        <f>E5</f>
        <v>0</v>
      </c>
      <c r="F11" s="503">
        <f>F5</f>
        <v>0</v>
      </c>
      <c r="G11" s="506">
        <f>G6</f>
        <v>0</v>
      </c>
      <c r="H11" s="503">
        <f>H7</f>
        <v>0</v>
      </c>
      <c r="I11" s="503">
        <f>I7</f>
        <v>0</v>
      </c>
      <c r="J11" s="503">
        <f>J7</f>
        <v>0</v>
      </c>
      <c r="K11" s="503">
        <f>K7</f>
        <v>0</v>
      </c>
      <c r="L11" s="506">
        <f>L8</f>
        <v>0</v>
      </c>
      <c r="M11" s="503">
        <f>M9</f>
        <v>0</v>
      </c>
      <c r="N11" s="503">
        <f>N9</f>
        <v>0</v>
      </c>
      <c r="O11" s="503">
        <f>O9</f>
        <v>0</v>
      </c>
      <c r="P11" s="510">
        <f>P10</f>
        <v>0</v>
      </c>
      <c r="Q11" s="503">
        <f t="shared" ref="Q11:R11" si="1">Q10</f>
        <v>0</v>
      </c>
      <c r="R11" s="503">
        <f t="shared" si="1"/>
        <v>0</v>
      </c>
      <c r="S11" s="504">
        <f t="shared" si="0"/>
        <v>0</v>
      </c>
    </row>
    <row r="12" spans="1:19" ht="14" customHeight="1" x14ac:dyDescent="0.15">
      <c r="G12" s="5"/>
      <c r="H12" s="5"/>
      <c r="I12" s="5"/>
      <c r="J12" s="5"/>
      <c r="K12" s="5"/>
      <c r="L12" s="5"/>
      <c r="M12" s="5"/>
      <c r="N12" s="5"/>
      <c r="O12" s="5"/>
      <c r="P12" s="5"/>
      <c r="Q12" s="5"/>
      <c r="R12" s="5"/>
    </row>
    <row r="13" spans="1:19" ht="14" customHeight="1" x14ac:dyDescent="0.15">
      <c r="A13" s="474" t="s">
        <v>492</v>
      </c>
      <c r="B13" s="1136">
        <f>IF('4buildings'!B29=0,0,'4buildings'!B10)</f>
        <v>0</v>
      </c>
      <c r="C13" s="1136">
        <f>IF('4buildings'!C29=0,0,'4buildings'!C10)</f>
        <v>0</v>
      </c>
      <c r="D13" s="1136">
        <f>IF('4buildings'!D29=0,0,'4buildings'!D10)</f>
        <v>0</v>
      </c>
      <c r="E13" s="1136">
        <f>IF('4buildings'!E29=0,0,'4buildings'!E10)</f>
        <v>0</v>
      </c>
      <c r="F13" s="1136">
        <f>IF('4buildings'!F29=0,0,'4buildings'!F10)</f>
        <v>0</v>
      </c>
      <c r="G13" s="1137">
        <f>IF('4buildings'!G29=0,0,'4buildings'!G10)</f>
        <v>0</v>
      </c>
      <c r="H13" s="1136">
        <f>IF('4buildings'!H29=0,0,'4buildings'!H10)</f>
        <v>0</v>
      </c>
      <c r="I13" s="1136">
        <f>IF('4buildings'!I29=0,0,'4buildings'!I10)</f>
        <v>0</v>
      </c>
      <c r="J13" s="1136">
        <f>IF('4buildings'!J29=0,0,'4buildings'!J10)</f>
        <v>0</v>
      </c>
      <c r="K13" s="1136">
        <f>IF('4buildings'!K29=0,0,'4buildings'!K10)</f>
        <v>0</v>
      </c>
      <c r="L13" s="1137">
        <f>IF('4buildings'!L29=0,0,'4buildings'!L10)</f>
        <v>0</v>
      </c>
      <c r="M13" s="1136">
        <f>IF('4buildings'!M29=0,0,'4buildings'!M10)</f>
        <v>0</v>
      </c>
      <c r="N13" s="1136">
        <f>IF('4buildings'!N29=0,0,'4buildings'!N10)</f>
        <v>0</v>
      </c>
      <c r="O13" s="1136">
        <f>IF('4buildings'!O29=0,0,'4buildings'!O10)</f>
        <v>0</v>
      </c>
      <c r="P13" s="1138">
        <f>IF('4buildings'!P29=0,0,'4buildings'!P10)</f>
        <v>0</v>
      </c>
      <c r="Q13" s="1136">
        <f>IF('4buildings'!Q29=0,0,'4buildings'!Q10)</f>
        <v>0</v>
      </c>
      <c r="R13" s="1136">
        <f>IF('4buildings'!R29=0,0,'4buildings'!R10)</f>
        <v>0</v>
      </c>
      <c r="S13" s="1139">
        <f>SUM(B13:R13)</f>
        <v>0</v>
      </c>
    </row>
    <row r="14" spans="1:19" ht="25" customHeight="1" x14ac:dyDescent="0.15">
      <c r="A14" s="475" t="s">
        <v>315</v>
      </c>
      <c r="B14" s="434" t="s">
        <v>300</v>
      </c>
      <c r="C14" s="434" t="s">
        <v>300</v>
      </c>
      <c r="D14" s="434" t="s">
        <v>300</v>
      </c>
      <c r="E14" s="434" t="s">
        <v>300</v>
      </c>
      <c r="F14" s="434" t="s">
        <v>300</v>
      </c>
      <c r="G14" s="505" t="s">
        <v>300</v>
      </c>
      <c r="H14" s="434" t="s">
        <v>300</v>
      </c>
      <c r="I14" s="434" t="s">
        <v>300</v>
      </c>
      <c r="J14" s="434" t="s">
        <v>300</v>
      </c>
      <c r="K14" s="434" t="s">
        <v>300</v>
      </c>
      <c r="L14" s="505" t="s">
        <v>300</v>
      </c>
      <c r="M14" s="434" t="s">
        <v>300</v>
      </c>
      <c r="N14" s="434" t="s">
        <v>300</v>
      </c>
      <c r="O14" s="434" t="s">
        <v>300</v>
      </c>
      <c r="P14" s="509" t="s">
        <v>300</v>
      </c>
      <c r="Q14" s="434" t="s">
        <v>300</v>
      </c>
      <c r="R14" s="434" t="s">
        <v>300</v>
      </c>
      <c r="S14" s="472" t="s">
        <v>300</v>
      </c>
    </row>
    <row r="15" spans="1:19" ht="14" customHeight="1" x14ac:dyDescent="0.15">
      <c r="A15" s="477" t="s">
        <v>313</v>
      </c>
      <c r="B15" s="860">
        <f>-B13*'4buildings'!B17</f>
        <v>0</v>
      </c>
      <c r="C15" s="860">
        <f>-C13*'4buildings'!C17</f>
        <v>0</v>
      </c>
      <c r="D15" s="860">
        <f>-D13*'4buildings'!D17</f>
        <v>0</v>
      </c>
      <c r="E15" s="860">
        <f>-E13*'4buildings'!E17</f>
        <v>0</v>
      </c>
      <c r="F15" s="860">
        <f>-F13*'4buildings'!F17</f>
        <v>0</v>
      </c>
      <c r="G15" s="861">
        <f>-G13*'4buildings'!G17</f>
        <v>0</v>
      </c>
      <c r="H15" s="860">
        <f>-H13*'4buildings'!H17</f>
        <v>0</v>
      </c>
      <c r="I15" s="860">
        <f>-I13*'4buildings'!I17</f>
        <v>0</v>
      </c>
      <c r="J15" s="860">
        <f>-J13*'4buildings'!J17</f>
        <v>0</v>
      </c>
      <c r="K15" s="860">
        <f>-K13*'4buildings'!K17</f>
        <v>0</v>
      </c>
      <c r="L15" s="861">
        <f>-L13*'4buildings'!L17</f>
        <v>0</v>
      </c>
      <c r="M15" s="860">
        <f>-M13*'4buildings'!M17</f>
        <v>0</v>
      </c>
      <c r="N15" s="860">
        <f>-N13*'4buildings'!N17</f>
        <v>0</v>
      </c>
      <c r="O15" s="860">
        <f>-O13*'4buildings'!O17</f>
        <v>0</v>
      </c>
      <c r="P15" s="862">
        <f>-P13*'4buildings'!P17</f>
        <v>0</v>
      </c>
      <c r="Q15" s="860">
        <f>-Q13*'4buildings'!Q17</f>
        <v>0</v>
      </c>
      <c r="R15" s="860">
        <f>-R13*'4buildings'!R17</f>
        <v>0</v>
      </c>
      <c r="S15" s="863">
        <f t="shared" ref="S15:S22" si="2">SUM(B15:R15)</f>
        <v>0</v>
      </c>
    </row>
    <row r="16" spans="1:19" ht="14" customHeight="1" x14ac:dyDescent="0.15">
      <c r="A16" s="477" t="s">
        <v>312</v>
      </c>
      <c r="B16" s="860">
        <f>-B13*'4buildings'!B29</f>
        <v>0</v>
      </c>
      <c r="C16" s="860">
        <f>-C13*'4buildings'!C29</f>
        <v>0</v>
      </c>
      <c r="D16" s="860">
        <f>-D13*'4buildings'!D29</f>
        <v>0</v>
      </c>
      <c r="E16" s="860">
        <f>-E13*'4buildings'!E29</f>
        <v>0</v>
      </c>
      <c r="F16" s="860">
        <f>-F13*'4buildings'!F29</f>
        <v>0</v>
      </c>
      <c r="G16" s="861">
        <f>-G13*'4buildings'!G29</f>
        <v>0</v>
      </c>
      <c r="H16" s="860">
        <f>-H13*'4buildings'!H29</f>
        <v>0</v>
      </c>
      <c r="I16" s="860">
        <f>-I13*'4buildings'!I29</f>
        <v>0</v>
      </c>
      <c r="J16" s="860">
        <f>-J13*'4buildings'!J29</f>
        <v>0</v>
      </c>
      <c r="K16" s="860">
        <f>-K13*'4buildings'!K29</f>
        <v>0</v>
      </c>
      <c r="L16" s="861">
        <f>-L13*'4buildings'!L29</f>
        <v>0</v>
      </c>
      <c r="M16" s="860">
        <f>-M13*'4buildings'!M29</f>
        <v>0</v>
      </c>
      <c r="N16" s="860">
        <f>-N13*'4buildings'!N29</f>
        <v>0</v>
      </c>
      <c r="O16" s="860">
        <f>-O13*'4buildings'!O29</f>
        <v>0</v>
      </c>
      <c r="P16" s="862">
        <f>-P13*'4buildings'!P29</f>
        <v>0</v>
      </c>
      <c r="Q16" s="860">
        <f>-Q13*'4buildings'!Q29</f>
        <v>0</v>
      </c>
      <c r="R16" s="860">
        <f>-R13*'4buildings'!R29</f>
        <v>0</v>
      </c>
      <c r="S16" s="863">
        <f t="shared" si="2"/>
        <v>0</v>
      </c>
    </row>
    <row r="17" spans="1:21" ht="14" customHeight="1" x14ac:dyDescent="0.15">
      <c r="A17" s="477" t="s">
        <v>561</v>
      </c>
      <c r="B17" s="860">
        <f>B13*('4buildings'!B31-'4buildings'!B33)</f>
        <v>0</v>
      </c>
      <c r="C17" s="860">
        <f>C13*('4buildings'!C31-'4buildings'!C33)</f>
        <v>0</v>
      </c>
      <c r="D17" s="860">
        <f>D13*('4buildings'!D31-'4buildings'!D33)</f>
        <v>0</v>
      </c>
      <c r="E17" s="860">
        <f>E13*('4buildings'!E31-'4buildings'!E33)</f>
        <v>0</v>
      </c>
      <c r="F17" s="860">
        <f>F13*('4buildings'!F31-'4buildings'!F33)</f>
        <v>0</v>
      </c>
      <c r="G17" s="861">
        <f>G13*('4buildings'!G31-'4buildings'!G33)</f>
        <v>0</v>
      </c>
      <c r="H17" s="860">
        <f>H13*('4buildings'!H31-'4buildings'!H33)</f>
        <v>0</v>
      </c>
      <c r="I17" s="860">
        <f>I13*('4buildings'!I31-'4buildings'!I33)</f>
        <v>0</v>
      </c>
      <c r="J17" s="860">
        <f>J13*('4buildings'!J31-'4buildings'!J33)</f>
        <v>0</v>
      </c>
      <c r="K17" s="860">
        <f>K13*('4buildings'!K31-'4buildings'!K33)</f>
        <v>0</v>
      </c>
      <c r="L17" s="861">
        <f>L13*('4buildings'!L31-'4buildings'!L33)</f>
        <v>0</v>
      </c>
      <c r="M17" s="860">
        <f>M13*('4buildings'!M31-'4buildings'!M33)</f>
        <v>0</v>
      </c>
      <c r="N17" s="860">
        <f>N13*('4buildings'!N31-'4buildings'!N33)</f>
        <v>0</v>
      </c>
      <c r="O17" s="860">
        <f>O13*('4buildings'!O31-'4buildings'!O33)</f>
        <v>0</v>
      </c>
      <c r="P17" s="862">
        <f>P13*('4buildings'!P31-'4buildings'!P33)</f>
        <v>0</v>
      </c>
      <c r="Q17" s="860">
        <f>Q13*('4buildings'!Q31-'4buildings'!Q33)</f>
        <v>0</v>
      </c>
      <c r="R17" s="860">
        <f>R13*('4buildings'!R31-'4buildings'!R33)</f>
        <v>0</v>
      </c>
      <c r="S17" s="863">
        <f t="shared" si="2"/>
        <v>0</v>
      </c>
    </row>
    <row r="18" spans="1:21" ht="14" customHeight="1" x14ac:dyDescent="0.15">
      <c r="A18" s="478" t="s">
        <v>297</v>
      </c>
      <c r="B18" s="864">
        <f>SUM(B15:B17)</f>
        <v>0</v>
      </c>
      <c r="C18" s="864">
        <f t="shared" ref="C18:R18" si="3">SUM(C15:C17)</f>
        <v>0</v>
      </c>
      <c r="D18" s="864">
        <f t="shared" si="3"/>
        <v>0</v>
      </c>
      <c r="E18" s="864">
        <f t="shared" si="3"/>
        <v>0</v>
      </c>
      <c r="F18" s="864">
        <f t="shared" si="3"/>
        <v>0</v>
      </c>
      <c r="G18" s="865">
        <f t="shared" si="3"/>
        <v>0</v>
      </c>
      <c r="H18" s="864">
        <f t="shared" si="3"/>
        <v>0</v>
      </c>
      <c r="I18" s="864">
        <f t="shared" si="3"/>
        <v>0</v>
      </c>
      <c r="J18" s="864">
        <f t="shared" si="3"/>
        <v>0</v>
      </c>
      <c r="K18" s="864">
        <f t="shared" si="3"/>
        <v>0</v>
      </c>
      <c r="L18" s="865">
        <f t="shared" si="3"/>
        <v>0</v>
      </c>
      <c r="M18" s="864">
        <f t="shared" si="3"/>
        <v>0</v>
      </c>
      <c r="N18" s="864">
        <f t="shared" si="3"/>
        <v>0</v>
      </c>
      <c r="O18" s="864">
        <f t="shared" si="3"/>
        <v>0</v>
      </c>
      <c r="P18" s="866">
        <f t="shared" si="3"/>
        <v>0</v>
      </c>
      <c r="Q18" s="864">
        <f t="shared" si="3"/>
        <v>0</v>
      </c>
      <c r="R18" s="864">
        <f t="shared" si="3"/>
        <v>0</v>
      </c>
      <c r="S18" s="867">
        <f t="shared" si="2"/>
        <v>0</v>
      </c>
    </row>
    <row r="19" spans="1:21" ht="14" customHeight="1" x14ac:dyDescent="0.15">
      <c r="A19" s="479" t="s">
        <v>370</v>
      </c>
      <c r="B19" s="856">
        <f>B13*'4buildings'!B46</f>
        <v>0</v>
      </c>
      <c r="C19" s="856">
        <f>C13*'4buildings'!C46</f>
        <v>0</v>
      </c>
      <c r="D19" s="856">
        <f>D13*'4buildings'!D46</f>
        <v>0</v>
      </c>
      <c r="E19" s="856">
        <f>E13*'4buildings'!E46</f>
        <v>0</v>
      </c>
      <c r="F19" s="856">
        <f>F13*'4buildings'!F46</f>
        <v>0</v>
      </c>
      <c r="G19" s="858">
        <f>G13*'4buildings'!G46</f>
        <v>0</v>
      </c>
      <c r="H19" s="856">
        <f>H13*'4buildings'!H46</f>
        <v>0</v>
      </c>
      <c r="I19" s="856">
        <f>I13*'4buildings'!I46</f>
        <v>0</v>
      </c>
      <c r="J19" s="856">
        <f>J13*'4buildings'!J46</f>
        <v>0</v>
      </c>
      <c r="K19" s="856">
        <f>K13*'4buildings'!K46</f>
        <v>0</v>
      </c>
      <c r="L19" s="858">
        <f>L13*'4buildings'!L46</f>
        <v>0</v>
      </c>
      <c r="M19" s="856">
        <f>M13*'4buildings'!M46</f>
        <v>0</v>
      </c>
      <c r="N19" s="856">
        <f>N13*'4buildings'!N46</f>
        <v>0</v>
      </c>
      <c r="O19" s="856">
        <f>O13*'4buildings'!O46</f>
        <v>0</v>
      </c>
      <c r="P19" s="859">
        <f>P13*'4buildings'!P46</f>
        <v>0</v>
      </c>
      <c r="Q19" s="856">
        <f>Q13*'4buildings'!Q46</f>
        <v>0</v>
      </c>
      <c r="R19" s="856">
        <f>R13*'4buildings'!R46</f>
        <v>0</v>
      </c>
      <c r="S19" s="857">
        <f t="shared" si="2"/>
        <v>0</v>
      </c>
    </row>
    <row r="20" spans="1:21" ht="14" customHeight="1" x14ac:dyDescent="0.15">
      <c r="A20" s="479" t="s">
        <v>371</v>
      </c>
      <c r="B20" s="856">
        <f>B13*'4buildings'!B48</f>
        <v>0</v>
      </c>
      <c r="C20" s="856">
        <f>C13*'4buildings'!C48</f>
        <v>0</v>
      </c>
      <c r="D20" s="856">
        <f>D13*'4buildings'!D48</f>
        <v>0</v>
      </c>
      <c r="E20" s="856">
        <f>E13*'4buildings'!E48</f>
        <v>0</v>
      </c>
      <c r="F20" s="856">
        <f>F13*'4buildings'!F48</f>
        <v>0</v>
      </c>
      <c r="G20" s="858">
        <f>G13*'4buildings'!G48</f>
        <v>0</v>
      </c>
      <c r="H20" s="856">
        <f>H13*'4buildings'!H48</f>
        <v>0</v>
      </c>
      <c r="I20" s="856">
        <f>I13*'4buildings'!I48</f>
        <v>0</v>
      </c>
      <c r="J20" s="856">
        <f>J13*'4buildings'!J48</f>
        <v>0</v>
      </c>
      <c r="K20" s="856">
        <f>K13*'4buildings'!K48</f>
        <v>0</v>
      </c>
      <c r="L20" s="858">
        <f>L13*'4buildings'!L48</f>
        <v>0</v>
      </c>
      <c r="M20" s="856">
        <f>M13*'4buildings'!M48</f>
        <v>0</v>
      </c>
      <c r="N20" s="856">
        <f>N13*'4buildings'!N48</f>
        <v>0</v>
      </c>
      <c r="O20" s="856">
        <f>O13*'4buildings'!O48</f>
        <v>0</v>
      </c>
      <c r="P20" s="859">
        <f>P13*'4buildings'!P48</f>
        <v>0</v>
      </c>
      <c r="Q20" s="856">
        <f>Q13*'4buildings'!Q48</f>
        <v>0</v>
      </c>
      <c r="R20" s="856">
        <f>R13*'4buildings'!R48</f>
        <v>0</v>
      </c>
      <c r="S20" s="857">
        <f t="shared" si="2"/>
        <v>0</v>
      </c>
    </row>
    <row r="21" spans="1:21" ht="14" customHeight="1" x14ac:dyDescent="0.15">
      <c r="A21" s="476" t="s">
        <v>298</v>
      </c>
      <c r="B21" s="868">
        <f>B13*'4buildings'!B35</f>
        <v>0</v>
      </c>
      <c r="C21" s="868">
        <f>C13*'4buildings'!C35</f>
        <v>0</v>
      </c>
      <c r="D21" s="868">
        <f>D13*'4buildings'!D35</f>
        <v>0</v>
      </c>
      <c r="E21" s="868">
        <f>E13*'4buildings'!E35</f>
        <v>0</v>
      </c>
      <c r="F21" s="868">
        <f>F13*'4buildings'!F35</f>
        <v>0</v>
      </c>
      <c r="G21" s="869">
        <f>G13*'4buildings'!G35</f>
        <v>0</v>
      </c>
      <c r="H21" s="868">
        <f>H13*'4buildings'!H35</f>
        <v>0</v>
      </c>
      <c r="I21" s="868">
        <f>I13*'4buildings'!I35</f>
        <v>0</v>
      </c>
      <c r="J21" s="868">
        <f>J13*'4buildings'!J35</f>
        <v>0</v>
      </c>
      <c r="K21" s="868">
        <f>K13*'4buildings'!K35</f>
        <v>0</v>
      </c>
      <c r="L21" s="869">
        <f>L13*'4buildings'!L35</f>
        <v>0</v>
      </c>
      <c r="M21" s="868">
        <f>M13*'4buildings'!M35</f>
        <v>0</v>
      </c>
      <c r="N21" s="868">
        <f>N13*'4buildings'!N35</f>
        <v>0</v>
      </c>
      <c r="O21" s="868">
        <f>O13*'4buildings'!O35</f>
        <v>0</v>
      </c>
      <c r="P21" s="870">
        <f>P13*'4buildings'!P35</f>
        <v>0</v>
      </c>
      <c r="Q21" s="868">
        <f>Q13*'4buildings'!Q35</f>
        <v>0</v>
      </c>
      <c r="R21" s="868">
        <f>R13*'4buildings'!R35</f>
        <v>0</v>
      </c>
      <c r="S21" s="871">
        <f t="shared" si="2"/>
        <v>0</v>
      </c>
    </row>
    <row r="22" spans="1:21" ht="14" customHeight="1" x14ac:dyDescent="0.15">
      <c r="A22" s="502" t="s">
        <v>372</v>
      </c>
      <c r="B22" s="503">
        <f t="shared" ref="B22:R22" si="4">B21+B18</f>
        <v>0</v>
      </c>
      <c r="C22" s="503">
        <f t="shared" si="4"/>
        <v>0</v>
      </c>
      <c r="D22" s="503">
        <f t="shared" si="4"/>
        <v>0</v>
      </c>
      <c r="E22" s="503">
        <f t="shared" si="4"/>
        <v>0</v>
      </c>
      <c r="F22" s="503">
        <f t="shared" si="4"/>
        <v>0</v>
      </c>
      <c r="G22" s="506">
        <f t="shared" si="4"/>
        <v>0</v>
      </c>
      <c r="H22" s="503">
        <f t="shared" si="4"/>
        <v>0</v>
      </c>
      <c r="I22" s="503">
        <f t="shared" si="4"/>
        <v>0</v>
      </c>
      <c r="J22" s="503">
        <f t="shared" si="4"/>
        <v>0</v>
      </c>
      <c r="K22" s="503">
        <f t="shared" si="4"/>
        <v>0</v>
      </c>
      <c r="L22" s="506">
        <f t="shared" si="4"/>
        <v>0</v>
      </c>
      <c r="M22" s="503">
        <f t="shared" si="4"/>
        <v>0</v>
      </c>
      <c r="N22" s="503">
        <f t="shared" si="4"/>
        <v>0</v>
      </c>
      <c r="O22" s="503">
        <f t="shared" si="4"/>
        <v>0</v>
      </c>
      <c r="P22" s="510">
        <f t="shared" si="4"/>
        <v>0</v>
      </c>
      <c r="Q22" s="503">
        <f t="shared" si="4"/>
        <v>0</v>
      </c>
      <c r="R22" s="503">
        <f t="shared" si="4"/>
        <v>0</v>
      </c>
      <c r="S22" s="504">
        <f t="shared" si="2"/>
        <v>0</v>
      </c>
      <c r="U22" s="468" t="s">
        <v>359</v>
      </c>
    </row>
    <row r="23" spans="1:21" ht="14" customHeight="1" x14ac:dyDescent="0.15">
      <c r="A23" s="480" t="s">
        <v>296</v>
      </c>
      <c r="B23" s="469">
        <f t="shared" ref="B23:S23" si="5">IF(B18=0,0,-B22/B18)</f>
        <v>0</v>
      </c>
      <c r="C23" s="469">
        <f t="shared" si="5"/>
        <v>0</v>
      </c>
      <c r="D23" s="469">
        <f t="shared" si="5"/>
        <v>0</v>
      </c>
      <c r="E23" s="469">
        <f t="shared" si="5"/>
        <v>0</v>
      </c>
      <c r="F23" s="469">
        <f t="shared" si="5"/>
        <v>0</v>
      </c>
      <c r="G23" s="507">
        <f t="shared" si="5"/>
        <v>0</v>
      </c>
      <c r="H23" s="469">
        <f t="shared" si="5"/>
        <v>0</v>
      </c>
      <c r="I23" s="469">
        <f t="shared" si="5"/>
        <v>0</v>
      </c>
      <c r="J23" s="469">
        <f t="shared" si="5"/>
        <v>0</v>
      </c>
      <c r="K23" s="469">
        <f t="shared" si="5"/>
        <v>0</v>
      </c>
      <c r="L23" s="507">
        <f t="shared" si="5"/>
        <v>0</v>
      </c>
      <c r="M23" s="469">
        <f t="shared" si="5"/>
        <v>0</v>
      </c>
      <c r="N23" s="469">
        <f t="shared" si="5"/>
        <v>0</v>
      </c>
      <c r="O23" s="469">
        <f t="shared" si="5"/>
        <v>0</v>
      </c>
      <c r="P23" s="511">
        <f t="shared" si="5"/>
        <v>0</v>
      </c>
      <c r="Q23" s="469">
        <f t="shared" si="5"/>
        <v>0</v>
      </c>
      <c r="R23" s="469">
        <f t="shared" si="5"/>
        <v>0</v>
      </c>
      <c r="S23" s="473">
        <f t="shared" si="5"/>
        <v>0</v>
      </c>
      <c r="U23" s="467" t="s">
        <v>359</v>
      </c>
    </row>
    <row r="25" spans="1:21" ht="14" customHeight="1" x14ac:dyDescent="0.15">
      <c r="A25" s="141" t="str">
        <f>"@Daniel, in the standard dashboard view only show the last column with totals, please."</f>
        <v>@Daniel, in the standard dashboard view only show the last column with totals, please.</v>
      </c>
    </row>
    <row r="27" spans="1:21" s="4" customFormat="1" ht="14" customHeight="1" x14ac:dyDescent="0.15">
      <c r="A27" s="466"/>
      <c r="B27" s="5"/>
      <c r="C27" s="3"/>
      <c r="D27" s="3"/>
      <c r="E27" s="3"/>
      <c r="F27" s="3"/>
      <c r="S27" s="109"/>
    </row>
  </sheetData>
  <sheetProtection selectLockedCells="1"/>
  <printOptions headings="1"/>
  <pageMargins left="0.7" right="0.7" top="0.75" bottom="0.75" header="0.3" footer="0.3"/>
  <pageSetup paperSize="9" scale="73" fitToWidth="0" fitToHeight="5" orientation="landscape" horizontalDpi="4294967292" verticalDpi="4294967292" r:id="rId1"/>
  <headerFooter>
    <oddHeader>&amp;R&amp;K000000&amp;A
Page &amp;P of &amp;N</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97C33-203B-6E4F-968B-3E5A13360CB1}">
  <sheetPr>
    <tabColor rgb="FFFFFF00"/>
  </sheetPr>
  <dimension ref="A1:X38"/>
  <sheetViews>
    <sheetView workbookViewId="0">
      <selection activeCell="B43" sqref="B43"/>
    </sheetView>
  </sheetViews>
  <sheetFormatPr baseColWidth="10" defaultColWidth="10.6640625" defaultRowHeight="14" customHeight="1" x14ac:dyDescent="0.15"/>
  <cols>
    <col min="1" max="1" width="51.33203125" style="17" customWidth="1"/>
    <col min="2" max="6" width="11.6640625" style="74" customWidth="1"/>
    <col min="7" max="12" width="11.6640625" style="28" customWidth="1"/>
    <col min="13" max="18" width="11.6640625" style="6" customWidth="1"/>
    <col min="19" max="19" width="10.6640625" style="6"/>
    <col min="20" max="20" width="3.33203125" style="6" customWidth="1"/>
    <col min="21" max="16384" width="10.6640625" style="6"/>
  </cols>
  <sheetData>
    <row r="1" spans="1:24" ht="14" customHeight="1" x14ac:dyDescent="0.15">
      <c r="A1" s="432" t="s">
        <v>549</v>
      </c>
      <c r="B1" s="518"/>
      <c r="C1" s="28"/>
      <c r="D1" s="28"/>
      <c r="E1" s="28"/>
      <c r="F1" s="28"/>
    </row>
    <row r="2" spans="1:24" ht="14" customHeight="1" x14ac:dyDescent="0.15">
      <c r="A2" s="432"/>
      <c r="B2" s="518"/>
      <c r="C2" s="28"/>
      <c r="D2" s="28"/>
      <c r="E2" s="28"/>
      <c r="F2" s="28"/>
    </row>
    <row r="3" spans="1:24" s="109" customFormat="1" ht="48" customHeight="1" thickBot="1" x14ac:dyDescent="0.2">
      <c r="A3" s="471" t="s">
        <v>379</v>
      </c>
      <c r="B3" s="403" t="s">
        <v>143</v>
      </c>
      <c r="C3" s="404" t="s">
        <v>144</v>
      </c>
      <c r="D3" s="405" t="s">
        <v>145</v>
      </c>
      <c r="E3" s="935" t="s">
        <v>146</v>
      </c>
      <c r="F3" s="935" t="s">
        <v>628</v>
      </c>
      <c r="G3" s="470" t="s">
        <v>630</v>
      </c>
      <c r="H3" s="406" t="s">
        <v>147</v>
      </c>
      <c r="I3" s="407" t="s">
        <v>148</v>
      </c>
      <c r="J3" s="408" t="s">
        <v>16</v>
      </c>
      <c r="K3" s="408" t="s">
        <v>627</v>
      </c>
      <c r="L3" s="470" t="s">
        <v>631</v>
      </c>
      <c r="M3" s="409" t="s">
        <v>625</v>
      </c>
      <c r="N3" s="410" t="s">
        <v>475</v>
      </c>
      <c r="O3" s="410" t="s">
        <v>626</v>
      </c>
      <c r="P3" s="508" t="s">
        <v>629</v>
      </c>
      <c r="Q3" s="411" t="s">
        <v>623</v>
      </c>
      <c r="R3" s="1411" t="s">
        <v>624</v>
      </c>
      <c r="S3" s="1461" t="s">
        <v>591</v>
      </c>
      <c r="T3" s="1462"/>
      <c r="U3" s="1462"/>
    </row>
    <row r="4" spans="1:24" ht="14" customHeight="1" x14ac:dyDescent="0.15">
      <c r="A4" s="474" t="s">
        <v>401</v>
      </c>
      <c r="B4" s="1245">
        <f>IF('4buildings'!B29=0,0,'4buildings'!B10)</f>
        <v>0</v>
      </c>
      <c r="C4" s="1245">
        <f>IF('4buildings'!C29=0,0,'4buildings'!C10)</f>
        <v>0</v>
      </c>
      <c r="D4" s="1245">
        <f>IF('4buildings'!D29=0,0,'4buildings'!D10)</f>
        <v>0</v>
      </c>
      <c r="E4" s="1245">
        <f>IF('4buildings'!E29=0,0,'4buildings'!E10)</f>
        <v>0</v>
      </c>
      <c r="F4" s="1245">
        <f>IF('4buildings'!F29=0,0,'4buildings'!F10)</f>
        <v>0</v>
      </c>
      <c r="G4" s="1259">
        <f>IF('4buildings'!G29=0,0,'4buildings'!G10)</f>
        <v>0</v>
      </c>
      <c r="H4" s="1245">
        <f>IF('4buildings'!H29=0,0,'4buildings'!H10)</f>
        <v>0</v>
      </c>
      <c r="I4" s="1245">
        <f>IF('4buildings'!I29=0,0,'4buildings'!I10)</f>
        <v>0</v>
      </c>
      <c r="J4" s="1245">
        <f>IF('4buildings'!J29=0,0,'4buildings'!J10)</f>
        <v>0</v>
      </c>
      <c r="K4" s="1245">
        <f>IF('4buildings'!K29=0,0,'4buildings'!K10)</f>
        <v>0</v>
      </c>
      <c r="L4" s="1259">
        <f>IF('4buildings'!L29=0,0,'4buildings'!L10)</f>
        <v>0</v>
      </c>
      <c r="M4" s="1245">
        <f>IF('4buildings'!M29=0,0,'4buildings'!M10)</f>
        <v>0</v>
      </c>
      <c r="N4" s="1245">
        <f>IF('4buildings'!N29=0,0,'4buildings'!N10)</f>
        <v>0</v>
      </c>
      <c r="O4" s="1245">
        <f>IF('4buildings'!O29=0,0,'4buildings'!O10)</f>
        <v>0</v>
      </c>
      <c r="P4" s="1246">
        <f>IF('4buildings'!P29=0,0,'4buildings'!P10)</f>
        <v>0</v>
      </c>
      <c r="Q4" s="1245">
        <f>IF('4buildings'!Q29=0,0,'4buildings'!Q10)</f>
        <v>0</v>
      </c>
      <c r="R4" s="1245">
        <f>IF('4buildings'!R29=0,0,'4buildings'!R10)</f>
        <v>0</v>
      </c>
      <c r="S4" s="1463">
        <f>SUM(B4:R4)</f>
        <v>0</v>
      </c>
      <c r="T4" s="1464"/>
      <c r="U4" s="1464"/>
    </row>
    <row r="5" spans="1:24" ht="14" customHeight="1" x14ac:dyDescent="0.15">
      <c r="A5" s="474" t="s">
        <v>676</v>
      </c>
      <c r="B5" s="1247">
        <f>IF(B4=0,0,B4*'5dwellings'!B20)</f>
        <v>0</v>
      </c>
      <c r="C5" s="1247">
        <f>IF(C4=0,0,C4*'5dwellings'!C20)</f>
        <v>0</v>
      </c>
      <c r="D5" s="1247">
        <f>IF(D4=0,0,D4*'5dwellings'!D20)</f>
        <v>0</v>
      </c>
      <c r="E5" s="1247">
        <f>IF(E4=0,0,E4*'5dwellings'!E20)</f>
        <v>0</v>
      </c>
      <c r="F5" s="1247">
        <f>IF(F4=0,0,F4*'5dwellings'!F20)</f>
        <v>0</v>
      </c>
      <c r="G5" s="1260">
        <f>IF(G4=0,0,G4*'5dwellings'!G20)</f>
        <v>0</v>
      </c>
      <c r="H5" s="1247">
        <f>IF(H4=0,0,H4*'5dwellings'!H20)</f>
        <v>0</v>
      </c>
      <c r="I5" s="1247">
        <f>IF(I4=0,0,I4*'5dwellings'!I20)</f>
        <v>0</v>
      </c>
      <c r="J5" s="1247">
        <f>IF(J4=0,0,J4*'5dwellings'!J20)</f>
        <v>0</v>
      </c>
      <c r="K5" s="1247">
        <f>IF(K4=0,0,K4*'5dwellings'!K20)</f>
        <v>0</v>
      </c>
      <c r="L5" s="1260">
        <f>IF(L4=0,0,L4*'5dwellings'!L20)</f>
        <v>0</v>
      </c>
      <c r="M5" s="1247">
        <f>IF(M4=0,0,M4*'5dwellings'!M20)</f>
        <v>0</v>
      </c>
      <c r="N5" s="1247">
        <f>IF(N4=0,0,N4*'5dwellings'!N20)</f>
        <v>0</v>
      </c>
      <c r="O5" s="1247">
        <f>IF(O4=0,0,O4*'5dwellings'!O20)</f>
        <v>0</v>
      </c>
      <c r="P5" s="1248">
        <f>IF(P4=0,0,P4*'5dwellings'!P20)</f>
        <v>0</v>
      </c>
      <c r="Q5" s="1247">
        <f>IF(Q4=0,0,Q4*'5dwellings'!Q20)</f>
        <v>0</v>
      </c>
      <c r="R5" s="1247">
        <f>IF(R4=0,0,R4*'5dwellings'!R20)</f>
        <v>0</v>
      </c>
      <c r="S5" s="1465">
        <f>SUM(B5:R5)</f>
        <v>0</v>
      </c>
      <c r="T5" s="1466"/>
      <c r="U5" s="1466"/>
    </row>
    <row r="6" spans="1:24" s="517" customFormat="1" ht="25" hidden="1" customHeight="1" x14ac:dyDescent="0.15">
      <c r="A6" s="181" t="str">
        <f>'5finance'!A3</f>
        <v>Starter type</v>
      </c>
      <c r="B6" s="1249" t="str">
        <f>'5finance'!B3</f>
        <v>lot only</v>
      </c>
      <c r="C6" s="1249" t="str">
        <f>'5finance'!C3</f>
        <v>lot only</v>
      </c>
      <c r="D6" s="1249" t="str">
        <f>'5finance'!D3</f>
        <v>lot only</v>
      </c>
      <c r="E6" s="1249" t="str">
        <f>'5finance'!E3</f>
        <v>mixed-use building</v>
      </c>
      <c r="F6" s="1249" t="str">
        <f>'5finance'!F3</f>
        <v>mixed-use building</v>
      </c>
      <c r="G6" s="1261" t="str">
        <f>'5finance'!G3</f>
        <v>lot only</v>
      </c>
      <c r="H6" s="1249" t="str">
        <f>'5finance'!H3</f>
        <v>lot only</v>
      </c>
      <c r="I6" s="1249" t="str">
        <f>'5finance'!I3</f>
        <v>lot only</v>
      </c>
      <c r="J6" s="1249" t="str">
        <f>'5finance'!J3</f>
        <v>mixed-use building</v>
      </c>
      <c r="K6" s="1249" t="str">
        <f>'5finance'!K3</f>
        <v>mixed-use building</v>
      </c>
      <c r="L6" s="1261" t="str">
        <f>'5finance'!L3</f>
        <v>lot only</v>
      </c>
      <c r="M6" s="1249" t="str">
        <f>'5finance'!M3</f>
        <v>apartments</v>
      </c>
      <c r="N6" s="1249" t="str">
        <f>'5finance'!N3</f>
        <v>shell</v>
      </c>
      <c r="O6" s="1249" t="str">
        <f>'5finance'!O3</f>
        <v>shell</v>
      </c>
      <c r="P6" s="1250" t="str">
        <f>'5finance'!P3</f>
        <v>core</v>
      </c>
      <c r="Q6" s="1249" t="str">
        <f>'5finance'!Q3</f>
        <v>core</v>
      </c>
      <c r="R6" s="1249" t="str">
        <f>'5finance'!R3</f>
        <v>roof</v>
      </c>
      <c r="S6" s="1251"/>
      <c r="T6" s="1252"/>
      <c r="U6" s="1252"/>
    </row>
    <row r="7" spans="1:24" s="145" customFormat="1" ht="14" customHeight="1" thickBot="1" x14ac:dyDescent="0.2">
      <c r="A7" s="389" t="str">
        <f>'5finance'!A4</f>
        <v>starter dwelling main units (owned), average gross area</v>
      </c>
      <c r="B7" s="1253">
        <f>'5finance'!B4</f>
        <v>0</v>
      </c>
      <c r="C7" s="1253">
        <f>'5finance'!C4</f>
        <v>0</v>
      </c>
      <c r="D7" s="1253">
        <f>'5finance'!D4</f>
        <v>0</v>
      </c>
      <c r="E7" s="1253">
        <f>'5finance'!E4</f>
        <v>0</v>
      </c>
      <c r="F7" s="1253">
        <f>'5finance'!F4</f>
        <v>0</v>
      </c>
      <c r="G7" s="1262">
        <f>'5finance'!G4</f>
        <v>0</v>
      </c>
      <c r="H7" s="1253">
        <f>'5finance'!H4</f>
        <v>0</v>
      </c>
      <c r="I7" s="1253">
        <f>'5finance'!I4</f>
        <v>0</v>
      </c>
      <c r="J7" s="1253">
        <f>'5finance'!J4</f>
        <v>0</v>
      </c>
      <c r="K7" s="1253">
        <f>'5finance'!K4</f>
        <v>0</v>
      </c>
      <c r="L7" s="1262">
        <f>'5finance'!L4</f>
        <v>0</v>
      </c>
      <c r="M7" s="1253">
        <f>'5finance'!M4</f>
        <v>0</v>
      </c>
      <c r="N7" s="1253">
        <f>'5finance'!N4</f>
        <v>0</v>
      </c>
      <c r="O7" s="1254">
        <f>'5finance'!O4</f>
        <v>0</v>
      </c>
      <c r="P7" s="1254">
        <f>'5finance'!P4</f>
        <v>0</v>
      </c>
      <c r="Q7" s="1253">
        <f>'5finance'!Q4</f>
        <v>0</v>
      </c>
      <c r="R7" s="1253">
        <f>'5finance'!R4</f>
        <v>0</v>
      </c>
      <c r="S7" s="1255">
        <f>MIN(B27:R27)</f>
        <v>0</v>
      </c>
      <c r="T7" s="1253" t="s">
        <v>587</v>
      </c>
      <c r="U7" s="1253">
        <f>ROUND(MAX(B7:R7),0)</f>
        <v>0</v>
      </c>
      <c r="W7" s="6"/>
      <c r="X7" s="6"/>
    </row>
    <row r="8" spans="1:24" s="55" customFormat="1" ht="25" customHeight="1" x14ac:dyDescent="0.15">
      <c r="A8" s="475" t="s">
        <v>616</v>
      </c>
      <c r="B8" s="434" t="s">
        <v>300</v>
      </c>
      <c r="C8" s="434" t="s">
        <v>300</v>
      </c>
      <c r="D8" s="434" t="s">
        <v>300</v>
      </c>
      <c r="E8" s="434" t="s">
        <v>300</v>
      </c>
      <c r="F8" s="434" t="s">
        <v>300</v>
      </c>
      <c r="G8" s="505" t="s">
        <v>300</v>
      </c>
      <c r="H8" s="434" t="s">
        <v>300</v>
      </c>
      <c r="I8" s="434" t="s">
        <v>300</v>
      </c>
      <c r="J8" s="434" t="s">
        <v>300</v>
      </c>
      <c r="K8" s="434" t="s">
        <v>300</v>
      </c>
      <c r="L8" s="505" t="s">
        <v>300</v>
      </c>
      <c r="M8" s="434" t="s">
        <v>300</v>
      </c>
      <c r="N8" s="434" t="s">
        <v>300</v>
      </c>
      <c r="O8" s="434" t="s">
        <v>300</v>
      </c>
      <c r="P8" s="509" t="s">
        <v>300</v>
      </c>
      <c r="Q8" s="434" t="s">
        <v>300</v>
      </c>
      <c r="R8" s="434" t="s">
        <v>300</v>
      </c>
      <c r="S8" s="472" t="s">
        <v>588</v>
      </c>
      <c r="T8" s="434" t="s">
        <v>589</v>
      </c>
      <c r="U8" s="434" t="s">
        <v>590</v>
      </c>
    </row>
    <row r="9" spans="1:24" ht="14" customHeight="1" x14ac:dyDescent="0.15">
      <c r="A9" s="477" t="str">
        <f>'5finance'!A5</f>
        <v>Land cost, attributed to 1 main dwelling unit</v>
      </c>
      <c r="B9" s="860">
        <f>'5finance'!B5</f>
        <v>0</v>
      </c>
      <c r="C9" s="860">
        <f>'5finance'!C5</f>
        <v>0</v>
      </c>
      <c r="D9" s="860">
        <f>'5finance'!D5</f>
        <v>0</v>
      </c>
      <c r="E9" s="860">
        <f>'5finance'!E5</f>
        <v>0</v>
      </c>
      <c r="F9" s="860">
        <f>'5finance'!F5</f>
        <v>0</v>
      </c>
      <c r="G9" s="861">
        <f>'5finance'!G5</f>
        <v>0</v>
      </c>
      <c r="H9" s="860">
        <f>'5finance'!H5</f>
        <v>0</v>
      </c>
      <c r="I9" s="860">
        <f>'5finance'!I5</f>
        <v>0</v>
      </c>
      <c r="J9" s="860">
        <f>'5finance'!J5</f>
        <v>0</v>
      </c>
      <c r="K9" s="860">
        <f>'5finance'!K5</f>
        <v>0</v>
      </c>
      <c r="L9" s="861">
        <f>'5finance'!L5</f>
        <v>0</v>
      </c>
      <c r="M9" s="860">
        <f>'5finance'!M5</f>
        <v>0</v>
      </c>
      <c r="N9" s="860">
        <f>'5finance'!N5</f>
        <v>0</v>
      </c>
      <c r="O9" s="860">
        <f>'5finance'!O5</f>
        <v>0</v>
      </c>
      <c r="P9" s="862">
        <f>'5finance'!P5</f>
        <v>0</v>
      </c>
      <c r="Q9" s="860">
        <f>'5finance'!Q5</f>
        <v>0</v>
      </c>
      <c r="R9" s="1264">
        <f>'5finance'!R5</f>
        <v>0</v>
      </c>
      <c r="S9" s="860">
        <f>MIN(B29:R29)</f>
        <v>0</v>
      </c>
      <c r="T9" s="860" t="s">
        <v>587</v>
      </c>
      <c r="U9" s="860">
        <f>ROUND(MAX(B9:R9),0)</f>
        <v>0</v>
      </c>
    </row>
    <row r="10" spans="1:24" ht="14" customHeight="1" x14ac:dyDescent="0.15">
      <c r="A10" s="477" t="str">
        <f>'5finance'!A6</f>
        <v>Starter unit cost, attributed to 1 main dwelling unit</v>
      </c>
      <c r="B10" s="860">
        <f>'5finance'!B6</f>
        <v>0</v>
      </c>
      <c r="C10" s="860">
        <f>'5finance'!C6</f>
        <v>0</v>
      </c>
      <c r="D10" s="860">
        <f>'5finance'!D6</f>
        <v>0</v>
      </c>
      <c r="E10" s="860">
        <f>'5finance'!E6</f>
        <v>0</v>
      </c>
      <c r="F10" s="860">
        <f>'5finance'!F6</f>
        <v>0</v>
      </c>
      <c r="G10" s="861">
        <f>'5finance'!G6</f>
        <v>0</v>
      </c>
      <c r="H10" s="860">
        <f>'5finance'!H6</f>
        <v>0</v>
      </c>
      <c r="I10" s="860">
        <f>'5finance'!I6</f>
        <v>0</v>
      </c>
      <c r="J10" s="860">
        <f>'5finance'!J6</f>
        <v>0</v>
      </c>
      <c r="K10" s="860">
        <f>'5finance'!K6</f>
        <v>0</v>
      </c>
      <c r="L10" s="861">
        <f>'5finance'!L6</f>
        <v>0</v>
      </c>
      <c r="M10" s="860">
        <f>'5finance'!M6</f>
        <v>0</v>
      </c>
      <c r="N10" s="860">
        <f>'5finance'!N6</f>
        <v>0</v>
      </c>
      <c r="O10" s="860">
        <f>'5finance'!O6</f>
        <v>0</v>
      </c>
      <c r="P10" s="862">
        <f>'5finance'!P6</f>
        <v>0</v>
      </c>
      <c r="Q10" s="860">
        <f>'5finance'!Q6</f>
        <v>0</v>
      </c>
      <c r="R10" s="1264">
        <f>'5finance'!R6</f>
        <v>0</v>
      </c>
      <c r="S10" s="860">
        <f>MIN(B30:R30)</f>
        <v>0</v>
      </c>
      <c r="T10" s="860" t="s">
        <v>587</v>
      </c>
      <c r="U10" s="860">
        <f>ROUND(MAX(B10:R10),0)</f>
        <v>0</v>
      </c>
    </row>
    <row r="11" spans="1:24" ht="14" customHeight="1" x14ac:dyDescent="0.15">
      <c r="A11" s="477" t="str">
        <f>'5finance'!A7</f>
        <v>Additional household investment, before move in (if any)</v>
      </c>
      <c r="B11" s="860">
        <f>IF(B7=0,0,'5finance'!B7)</f>
        <v>0</v>
      </c>
      <c r="C11" s="860">
        <f>IF(C7=0,0,'5finance'!C7)</f>
        <v>0</v>
      </c>
      <c r="D11" s="860">
        <f>IF(D7=0,0,'5finance'!D7)</f>
        <v>0</v>
      </c>
      <c r="E11" s="860">
        <f>IF(E7=0,0,'5finance'!E7)</f>
        <v>0</v>
      </c>
      <c r="F11" s="860">
        <f>IF(F7=0,0,'5finance'!F7)</f>
        <v>0</v>
      </c>
      <c r="G11" s="861">
        <f>IF(G7=0,0,'5finance'!G7)</f>
        <v>0</v>
      </c>
      <c r="H11" s="860">
        <f>IF(H7=0,0,'5finance'!H7)</f>
        <v>0</v>
      </c>
      <c r="I11" s="860">
        <f>IF(I7=0,0,'5finance'!I7)</f>
        <v>0</v>
      </c>
      <c r="J11" s="860">
        <f>IF(J7=0,0,'5finance'!J7)</f>
        <v>0</v>
      </c>
      <c r="K11" s="860">
        <f>IF(K7=0,0,'5finance'!K7)</f>
        <v>0</v>
      </c>
      <c r="L11" s="861">
        <f>IF(L7=0,0,'5finance'!L7)</f>
        <v>0</v>
      </c>
      <c r="M11" s="860">
        <f>IF(M7=0,0,'5finance'!M7)</f>
        <v>0</v>
      </c>
      <c r="N11" s="860">
        <f>IF(N7=0,0,'5finance'!N7)</f>
        <v>0</v>
      </c>
      <c r="O11" s="860">
        <f>IF(O7=0,0,'5finance'!O7)</f>
        <v>0</v>
      </c>
      <c r="P11" s="862">
        <f>IF(P7=0,0,'5finance'!P7)</f>
        <v>0</v>
      </c>
      <c r="Q11" s="860">
        <f>IF(Q7=0,0,'5finance'!Q7)</f>
        <v>0</v>
      </c>
      <c r="R11" s="1264">
        <f>IF(R7=0,0,'5finance'!R7)</f>
        <v>0</v>
      </c>
      <c r="S11" s="860">
        <f>MIN(B31:R31)</f>
        <v>0</v>
      </c>
      <c r="T11" s="860" t="s">
        <v>587</v>
      </c>
      <c r="U11" s="860">
        <f>ROUND(MAX(B11:R11),0)</f>
        <v>0</v>
      </c>
    </row>
    <row r="12" spans="1:24" ht="14" customHeight="1" x14ac:dyDescent="0.15">
      <c r="A12" s="516" t="str">
        <f>'5finance'!A8</f>
        <v>Total cost, to be financed</v>
      </c>
      <c r="B12" s="911">
        <f>'5finance'!B8</f>
        <v>0</v>
      </c>
      <c r="C12" s="911">
        <f>'5finance'!C8</f>
        <v>0</v>
      </c>
      <c r="D12" s="911">
        <f>'5finance'!D8</f>
        <v>0</v>
      </c>
      <c r="E12" s="911">
        <f>'5finance'!E8</f>
        <v>0</v>
      </c>
      <c r="F12" s="911">
        <f>'5finance'!F8</f>
        <v>0</v>
      </c>
      <c r="G12" s="1263">
        <f>'5finance'!G8</f>
        <v>0</v>
      </c>
      <c r="H12" s="911">
        <f>'5finance'!H8</f>
        <v>0</v>
      </c>
      <c r="I12" s="911">
        <f>'5finance'!I8</f>
        <v>0</v>
      </c>
      <c r="J12" s="911">
        <f>'5finance'!J8</f>
        <v>0</v>
      </c>
      <c r="K12" s="911">
        <f>'5finance'!K8</f>
        <v>0</v>
      </c>
      <c r="L12" s="1263">
        <f>'5finance'!L8</f>
        <v>0</v>
      </c>
      <c r="M12" s="911">
        <f>'5finance'!M8</f>
        <v>0</v>
      </c>
      <c r="N12" s="911">
        <f>'5finance'!N8</f>
        <v>0</v>
      </c>
      <c r="O12" s="911">
        <f>'5finance'!O8</f>
        <v>0</v>
      </c>
      <c r="P12" s="912">
        <f>'5finance'!P8</f>
        <v>0</v>
      </c>
      <c r="Q12" s="911">
        <f>'5finance'!Q8</f>
        <v>0</v>
      </c>
      <c r="R12" s="1265">
        <f>'5finance'!R8</f>
        <v>0</v>
      </c>
      <c r="S12" s="911">
        <f>MIN(B32:R32)</f>
        <v>0</v>
      </c>
      <c r="T12" s="911" t="s">
        <v>587</v>
      </c>
      <c r="U12" s="911">
        <f>ROUND(MAX(B12:R12),0)</f>
        <v>0</v>
      </c>
    </row>
    <row r="13" spans="1:24" ht="14" customHeight="1" x14ac:dyDescent="0.15">
      <c r="B13" s="6"/>
      <c r="C13" s="6"/>
      <c r="D13" s="6"/>
      <c r="E13" s="6"/>
      <c r="F13" s="6"/>
      <c r="G13" s="6"/>
      <c r="H13" s="6"/>
      <c r="I13" s="6"/>
      <c r="J13" s="6"/>
      <c r="K13" s="6"/>
      <c r="L13" s="6"/>
    </row>
    <row r="14" spans="1:24" s="55" customFormat="1" ht="25" customHeight="1" x14ac:dyDescent="0.15">
      <c r="A14" s="475" t="s">
        <v>594</v>
      </c>
      <c r="B14" s="434" t="s">
        <v>400</v>
      </c>
      <c r="C14" s="434" t="s">
        <v>400</v>
      </c>
      <c r="D14" s="434" t="s">
        <v>400</v>
      </c>
      <c r="E14" s="434" t="s">
        <v>400</v>
      </c>
      <c r="F14" s="434" t="s">
        <v>400</v>
      </c>
      <c r="G14" s="505" t="s">
        <v>400</v>
      </c>
      <c r="H14" s="434" t="s">
        <v>400</v>
      </c>
      <c r="I14" s="434" t="s">
        <v>400</v>
      </c>
      <c r="J14" s="434" t="s">
        <v>400</v>
      </c>
      <c r="K14" s="434" t="s">
        <v>400</v>
      </c>
      <c r="L14" s="505" t="s">
        <v>400</v>
      </c>
      <c r="M14" s="434" t="s">
        <v>400</v>
      </c>
      <c r="N14" s="434" t="s">
        <v>400</v>
      </c>
      <c r="O14" s="434" t="s">
        <v>400</v>
      </c>
      <c r="P14" s="509" t="s">
        <v>400</v>
      </c>
      <c r="Q14" s="434" t="s">
        <v>400</v>
      </c>
      <c r="R14" s="475" t="s">
        <v>400</v>
      </c>
      <c r="S14" s="434" t="s">
        <v>588</v>
      </c>
      <c r="T14" s="434" t="s">
        <v>589</v>
      </c>
      <c r="U14" s="434" t="s">
        <v>590</v>
      </c>
    </row>
    <row r="15" spans="1:24" ht="14" customHeight="1" x14ac:dyDescent="0.15">
      <c r="A15" s="477" t="s">
        <v>398</v>
      </c>
      <c r="B15" s="860">
        <f>'5finance'!B57</f>
        <v>0</v>
      </c>
      <c r="C15" s="860">
        <f>'5finance'!C57</f>
        <v>0</v>
      </c>
      <c r="D15" s="860">
        <f>'5finance'!D57</f>
        <v>0</v>
      </c>
      <c r="E15" s="860">
        <f>'5finance'!E57</f>
        <v>0</v>
      </c>
      <c r="F15" s="860">
        <f>'5finance'!F57</f>
        <v>0</v>
      </c>
      <c r="G15" s="861">
        <f>'5finance'!G57</f>
        <v>0</v>
      </c>
      <c r="H15" s="860">
        <f>'5finance'!H57</f>
        <v>0</v>
      </c>
      <c r="I15" s="860">
        <f>'5finance'!I57</f>
        <v>0</v>
      </c>
      <c r="J15" s="860">
        <f>'5finance'!J57</f>
        <v>0</v>
      </c>
      <c r="K15" s="860">
        <f>'5finance'!K57</f>
        <v>0</v>
      </c>
      <c r="L15" s="861">
        <f>'5finance'!L57</f>
        <v>0</v>
      </c>
      <c r="M15" s="860">
        <f>'5finance'!M57</f>
        <v>0</v>
      </c>
      <c r="N15" s="860">
        <f>'5finance'!N57</f>
        <v>0</v>
      </c>
      <c r="O15" s="860">
        <f>'5finance'!O57</f>
        <v>0</v>
      </c>
      <c r="P15" s="862">
        <f>'5finance'!P57</f>
        <v>0</v>
      </c>
      <c r="Q15" s="860">
        <f>'5finance'!Q57</f>
        <v>0</v>
      </c>
      <c r="R15" s="1264">
        <f>'5finance'!R57</f>
        <v>0</v>
      </c>
      <c r="S15" s="860">
        <f>MIN(B35:R35)</f>
        <v>0</v>
      </c>
      <c r="T15" s="860" t="s">
        <v>587</v>
      </c>
      <c r="U15" s="860">
        <f>ROUND(MAX(B15:R15),0)</f>
        <v>0</v>
      </c>
    </row>
    <row r="16" spans="1:24" ht="14" customHeight="1" x14ac:dyDescent="0.15">
      <c r="A16" s="477" t="s">
        <v>399</v>
      </c>
      <c r="B16" s="860">
        <f>'5finance'!B58</f>
        <v>0</v>
      </c>
      <c r="C16" s="860">
        <f>'5finance'!C58</f>
        <v>0</v>
      </c>
      <c r="D16" s="860">
        <f>'5finance'!D58</f>
        <v>0</v>
      </c>
      <c r="E16" s="860">
        <f>'5finance'!E58</f>
        <v>0</v>
      </c>
      <c r="F16" s="860">
        <f>'5finance'!F58</f>
        <v>0</v>
      </c>
      <c r="G16" s="861">
        <f>'5finance'!G58</f>
        <v>0</v>
      </c>
      <c r="H16" s="860">
        <f>'5finance'!H58</f>
        <v>0</v>
      </c>
      <c r="I16" s="860">
        <f>'5finance'!I58</f>
        <v>0</v>
      </c>
      <c r="J16" s="860">
        <f>'5finance'!J58</f>
        <v>0</v>
      </c>
      <c r="K16" s="860">
        <f>'5finance'!K58</f>
        <v>0</v>
      </c>
      <c r="L16" s="861">
        <f>'5finance'!L58</f>
        <v>0</v>
      </c>
      <c r="M16" s="860">
        <f>'5finance'!M58</f>
        <v>0</v>
      </c>
      <c r="N16" s="860">
        <f>'5finance'!N58</f>
        <v>0</v>
      </c>
      <c r="O16" s="860">
        <f>'5finance'!O58</f>
        <v>0</v>
      </c>
      <c r="P16" s="862">
        <f>'5finance'!P58</f>
        <v>0</v>
      </c>
      <c r="Q16" s="860">
        <f>'5finance'!Q58</f>
        <v>0</v>
      </c>
      <c r="R16" s="1264">
        <f>'5finance'!R58</f>
        <v>0</v>
      </c>
      <c r="S16" s="860">
        <f>MIN(B36:R36)</f>
        <v>0</v>
      </c>
      <c r="T16" s="860" t="s">
        <v>587</v>
      </c>
      <c r="U16" s="860">
        <f>ROUND(MAX(B16:R16),0)</f>
        <v>0</v>
      </c>
    </row>
    <row r="17" spans="1:24" ht="14" customHeight="1" x14ac:dyDescent="0.15">
      <c r="A17" s="477" t="s">
        <v>397</v>
      </c>
      <c r="B17" s="860">
        <f>'5finance'!B59</f>
        <v>0</v>
      </c>
      <c r="C17" s="860">
        <f>'5finance'!C59</f>
        <v>0</v>
      </c>
      <c r="D17" s="860">
        <f>'5finance'!D59</f>
        <v>0</v>
      </c>
      <c r="E17" s="860">
        <f>'5finance'!E59</f>
        <v>0</v>
      </c>
      <c r="F17" s="860">
        <f>'5finance'!F59</f>
        <v>0</v>
      </c>
      <c r="G17" s="861">
        <f>'5finance'!G59</f>
        <v>0</v>
      </c>
      <c r="H17" s="860">
        <f>'5finance'!H59</f>
        <v>0</v>
      </c>
      <c r="I17" s="860">
        <f>'5finance'!I59</f>
        <v>0</v>
      </c>
      <c r="J17" s="860">
        <f>'5finance'!J59</f>
        <v>0</v>
      </c>
      <c r="K17" s="860">
        <f>'5finance'!K59</f>
        <v>0</v>
      </c>
      <c r="L17" s="861">
        <f>'5finance'!L59</f>
        <v>0</v>
      </c>
      <c r="M17" s="860">
        <f>'5finance'!M59</f>
        <v>0</v>
      </c>
      <c r="N17" s="860">
        <f>'5finance'!N59</f>
        <v>0</v>
      </c>
      <c r="O17" s="860">
        <f>'5finance'!O59</f>
        <v>0</v>
      </c>
      <c r="P17" s="862">
        <f>'5finance'!P59</f>
        <v>0</v>
      </c>
      <c r="Q17" s="860">
        <f>'5finance'!Q59</f>
        <v>0</v>
      </c>
      <c r="R17" s="1264">
        <f>'5finance'!R59</f>
        <v>0</v>
      </c>
      <c r="S17" s="860">
        <f>MIN(B37:R37)</f>
        <v>0</v>
      </c>
      <c r="T17" s="860" t="s">
        <v>587</v>
      </c>
      <c r="U17" s="860">
        <f>ROUND(MAX(B17:R17),0)</f>
        <v>0</v>
      </c>
    </row>
    <row r="18" spans="1:24" ht="14" customHeight="1" x14ac:dyDescent="0.15">
      <c r="A18" s="516" t="s">
        <v>396</v>
      </c>
      <c r="B18" s="911">
        <f>SUM(B15:B16)</f>
        <v>0</v>
      </c>
      <c r="C18" s="911">
        <f>SUM(C15:C16)</f>
        <v>0</v>
      </c>
      <c r="D18" s="911">
        <f>SUM(D15:D16)</f>
        <v>0</v>
      </c>
      <c r="E18" s="911">
        <f>SUM(E15:E16)</f>
        <v>0</v>
      </c>
      <c r="F18" s="911">
        <f t="shared" ref="F18:L18" si="0">SUM(F15:F16)</f>
        <v>0</v>
      </c>
      <c r="G18" s="1263">
        <f t="shared" si="0"/>
        <v>0</v>
      </c>
      <c r="H18" s="911">
        <f t="shared" si="0"/>
        <v>0</v>
      </c>
      <c r="I18" s="911">
        <f t="shared" si="0"/>
        <v>0</v>
      </c>
      <c r="J18" s="911">
        <f t="shared" si="0"/>
        <v>0</v>
      </c>
      <c r="K18" s="911">
        <f t="shared" si="0"/>
        <v>0</v>
      </c>
      <c r="L18" s="1263">
        <f t="shared" si="0"/>
        <v>0</v>
      </c>
      <c r="M18" s="911">
        <f>'5finance'!M60</f>
        <v>0</v>
      </c>
      <c r="N18" s="911">
        <f>'5finance'!N60</f>
        <v>0</v>
      </c>
      <c r="O18" s="911">
        <f>'5finance'!O60</f>
        <v>0</v>
      </c>
      <c r="P18" s="912">
        <f>'5finance'!P60</f>
        <v>0</v>
      </c>
      <c r="Q18" s="911">
        <f>'5finance'!Q60</f>
        <v>0</v>
      </c>
      <c r="R18" s="1265">
        <f>'5finance'!R60</f>
        <v>0</v>
      </c>
      <c r="S18" s="911">
        <f>MIN(B38:R38)</f>
        <v>0</v>
      </c>
      <c r="T18" s="911" t="s">
        <v>587</v>
      </c>
      <c r="U18" s="911">
        <f>ROUND(MAX(B18:R18),0)</f>
        <v>0</v>
      </c>
    </row>
    <row r="20" spans="1:24" ht="14" customHeight="1" x14ac:dyDescent="0.15">
      <c r="A20" s="479" t="s">
        <v>474</v>
      </c>
      <c r="B20" s="1256">
        <f>'5affordability'!H21</f>
        <v>0</v>
      </c>
      <c r="C20" s="1256">
        <f>'5affordability'!I21</f>
        <v>0</v>
      </c>
      <c r="D20" s="1256">
        <f>'5affordability'!J21</f>
        <v>0</v>
      </c>
      <c r="E20" s="1256">
        <f>'5affordability'!K21</f>
        <v>0</v>
      </c>
      <c r="F20" s="1256">
        <f>'5affordability'!L21</f>
        <v>0</v>
      </c>
      <c r="G20" s="1257">
        <f>'5affordability'!M21</f>
        <v>0</v>
      </c>
      <c r="H20" s="1256">
        <f>'5affordability'!N21</f>
        <v>0</v>
      </c>
      <c r="I20" s="1256">
        <f>'5affordability'!O21</f>
        <v>0</v>
      </c>
      <c r="J20" s="1256">
        <f>'5affordability'!P21</f>
        <v>0</v>
      </c>
      <c r="K20" s="1256">
        <f>'5affordability'!Q21</f>
        <v>0</v>
      </c>
      <c r="L20" s="1257">
        <f>'5affordability'!R21</f>
        <v>0</v>
      </c>
      <c r="M20" s="1256">
        <f>'5affordability'!S21</f>
        <v>0</v>
      </c>
      <c r="N20" s="1256">
        <f>'5affordability'!T21</f>
        <v>0</v>
      </c>
      <c r="O20" s="1256">
        <f>'5affordability'!U21</f>
        <v>0</v>
      </c>
      <c r="P20" s="1258">
        <f>'5affordability'!V21</f>
        <v>0</v>
      </c>
      <c r="Q20" s="1256">
        <f>'5affordability'!W21</f>
        <v>0</v>
      </c>
      <c r="R20" s="1256">
        <f>'5affordability'!X21</f>
        <v>0</v>
      </c>
      <c r="S20" s="1459">
        <f>'5affordability'!Y21</f>
        <v>0</v>
      </c>
      <c r="T20" s="1460"/>
      <c r="U20" s="1460"/>
    </row>
    <row r="21" spans="1:24" ht="14" customHeight="1" x14ac:dyDescent="0.15">
      <c r="A21" s="479" t="s">
        <v>548</v>
      </c>
      <c r="B21" s="1256">
        <f>'5affordability'!H38</f>
        <v>0</v>
      </c>
      <c r="C21" s="1256">
        <f>'5affordability'!I38</f>
        <v>0</v>
      </c>
      <c r="D21" s="1256">
        <f>'5affordability'!J38</f>
        <v>0</v>
      </c>
      <c r="E21" s="1256">
        <f>'5affordability'!K38</f>
        <v>0</v>
      </c>
      <c r="F21" s="1256">
        <f>'5affordability'!L38</f>
        <v>0</v>
      </c>
      <c r="G21" s="1257">
        <f>'5affordability'!M38</f>
        <v>0</v>
      </c>
      <c r="H21" s="1256">
        <f>'5affordability'!N38</f>
        <v>0</v>
      </c>
      <c r="I21" s="1256">
        <f>'5affordability'!O38</f>
        <v>0</v>
      </c>
      <c r="J21" s="1256">
        <f>'5affordability'!P38</f>
        <v>0</v>
      </c>
      <c r="K21" s="1256">
        <f>'5affordability'!Q38</f>
        <v>0</v>
      </c>
      <c r="L21" s="1257">
        <f>'5affordability'!R38</f>
        <v>0</v>
      </c>
      <c r="M21" s="1256" t="str">
        <f>'5affordability'!S38</f>
        <v>n/a</v>
      </c>
      <c r="N21" s="1256" t="str">
        <f>'5affordability'!T38</f>
        <v>n/a</v>
      </c>
      <c r="O21" s="1256" t="str">
        <f>'5affordability'!U38</f>
        <v>n/a</v>
      </c>
      <c r="P21" s="1258" t="str">
        <f>'5affordability'!V38</f>
        <v>n/a</v>
      </c>
      <c r="Q21" s="1256" t="str">
        <f>'5affordability'!W38</f>
        <v>n/a</v>
      </c>
      <c r="R21" s="1256" t="str">
        <f>'5affordability'!X38</f>
        <v>n/a</v>
      </c>
      <c r="S21" s="1459">
        <f>'5affordability'!Y38</f>
        <v>0</v>
      </c>
      <c r="T21" s="1460"/>
      <c r="U21" s="1460"/>
    </row>
    <row r="23" spans="1:24" ht="14" customHeight="1" x14ac:dyDescent="0.15">
      <c r="A23" s="141" t="str">
        <f>"@Daniel, in the standard dashboard view only show the last column with totals. Beyond that, could we construct a dropdown menu, with the column headers, in order to display different columns?"</f>
        <v>@Daniel, in the standard dashboard view only show the last column with totals. Beyond that, could we construct a dropdown menu, with the column headers, in order to display different columns?</v>
      </c>
    </row>
    <row r="24" spans="1:24" ht="14" customHeight="1" x14ac:dyDescent="0.15">
      <c r="A24" s="141" t="str">
        <f>"@Daniel, if the CONCATE formula in the final column does not work for Lucky Sheets, this can be hardcoded for RUE?"</f>
        <v>@Daniel, if the CONCATE formula in the final column does not work for Lucky Sheets, this can be hardcoded for RUE?</v>
      </c>
    </row>
    <row r="26" spans="1:24" ht="22" hidden="1" customHeight="1" x14ac:dyDescent="0.15">
      <c r="A26" s="923" t="s">
        <v>593</v>
      </c>
    </row>
    <row r="27" spans="1:24" s="145" customFormat="1" ht="14" hidden="1" customHeight="1" thickBot="1" x14ac:dyDescent="0.2">
      <c r="A27" s="914" t="str">
        <f>'5finance'!A30</f>
        <v>Downpayment, share</v>
      </c>
      <c r="B27" s="913">
        <f>IF(B7=0,U7,B7)</f>
        <v>0</v>
      </c>
      <c r="C27" s="913">
        <f>IF(C7=0,U7,C7)</f>
        <v>0</v>
      </c>
      <c r="D27" s="913">
        <f>IF(D7=0,U7,D7)</f>
        <v>0</v>
      </c>
      <c r="E27" s="913">
        <f>IF(E7=0,U7,E7)</f>
        <v>0</v>
      </c>
      <c r="F27" s="913">
        <f>IF(F7=0,U7,F7)</f>
        <v>0</v>
      </c>
      <c r="G27" s="913">
        <f>IF(G7=0,U7,G7)</f>
        <v>0</v>
      </c>
      <c r="H27" s="913">
        <f>IF(H7=0,U7,H7)</f>
        <v>0</v>
      </c>
      <c r="I27" s="913">
        <f>IF(I7=0,U7,I7)</f>
        <v>0</v>
      </c>
      <c r="J27" s="913">
        <f>IF(J7=0,U7,J7)</f>
        <v>0</v>
      </c>
      <c r="K27" s="913">
        <f>IF(K7=0,U7,K7)</f>
        <v>0</v>
      </c>
      <c r="L27" s="913">
        <f>IF(L7=0,U7,L7)</f>
        <v>0</v>
      </c>
      <c r="M27" s="913">
        <f>IF(M7=0,U7,M7)</f>
        <v>0</v>
      </c>
      <c r="N27" s="913">
        <f>IF(N7=0,U7,N7)</f>
        <v>0</v>
      </c>
      <c r="O27" s="913">
        <f>IF(O7=0,U7,O7)</f>
        <v>0</v>
      </c>
      <c r="P27" s="913">
        <f>IF(P7=0,U7,P7)</f>
        <v>0</v>
      </c>
      <c r="Q27" s="913">
        <f>IF(Q7=0,U7,Q7)</f>
        <v>0</v>
      </c>
      <c r="R27" s="913">
        <f>IF(R7=0,U7,R7)</f>
        <v>0</v>
      </c>
      <c r="S27" s="6"/>
      <c r="T27" s="6"/>
      <c r="U27" s="6"/>
      <c r="W27" s="6"/>
      <c r="X27" s="6"/>
    </row>
    <row r="28" spans="1:24" s="28" customFormat="1" ht="25" hidden="1" customHeight="1" x14ac:dyDescent="0.15">
      <c r="A28" s="915" t="s">
        <v>315</v>
      </c>
      <c r="B28" s="916"/>
      <c r="C28" s="916"/>
      <c r="D28" s="916"/>
      <c r="E28" s="916"/>
      <c r="F28" s="916"/>
      <c r="G28" s="917"/>
      <c r="H28" s="916"/>
      <c r="I28" s="916"/>
      <c r="J28" s="916"/>
      <c r="K28" s="916"/>
      <c r="L28" s="917"/>
      <c r="M28" s="916"/>
      <c r="N28" s="916"/>
      <c r="O28" s="916"/>
      <c r="P28" s="918"/>
      <c r="Q28" s="916"/>
      <c r="R28" s="916"/>
      <c r="S28" s="6"/>
      <c r="T28" s="6"/>
      <c r="U28" s="6"/>
    </row>
    <row r="29" spans="1:24" ht="14" hidden="1" customHeight="1" x14ac:dyDescent="0.15">
      <c r="A29" s="919" t="str">
        <f>'5finance'!A31</f>
        <v>…, amount</v>
      </c>
      <c r="B29" s="909">
        <f>IF(B9=0,U9,B9)</f>
        <v>0</v>
      </c>
      <c r="C29" s="909">
        <f>IF(C9=0,U9,C9)</f>
        <v>0</v>
      </c>
      <c r="D29" s="909">
        <f>IF(D9=0,U9,D9)</f>
        <v>0</v>
      </c>
      <c r="E29" s="909">
        <f>IF(E9=0,U9,E9)</f>
        <v>0</v>
      </c>
      <c r="F29" s="909">
        <f>IF(F9=0,U9,F9)</f>
        <v>0</v>
      </c>
      <c r="G29" s="910">
        <f>IF(G9=0,U9,G9)</f>
        <v>0</v>
      </c>
      <c r="H29" s="909">
        <f>IF(H9=0,U9,H9)</f>
        <v>0</v>
      </c>
      <c r="I29" s="909">
        <f>IF(I9=0,U9,I9)</f>
        <v>0</v>
      </c>
      <c r="J29" s="909">
        <f>IF(J9=0,U9,J9)</f>
        <v>0</v>
      </c>
      <c r="K29" s="909">
        <f>IF(K9=0,U9,K9)</f>
        <v>0</v>
      </c>
      <c r="L29" s="910">
        <f>IF(L9=0,U9,L9)</f>
        <v>0</v>
      </c>
      <c r="M29" s="909">
        <f>IF(M9=0,U9,M9)</f>
        <v>0</v>
      </c>
      <c r="N29" s="909">
        <f>IF(N9=0,U9,N9)</f>
        <v>0</v>
      </c>
      <c r="O29" s="909">
        <f>IF(O9=0,U9,O9)</f>
        <v>0</v>
      </c>
      <c r="P29" s="920">
        <f>IF(P9=0,U9,P9)</f>
        <v>0</v>
      </c>
      <c r="Q29" s="909">
        <f>IF(Q9=0,U9,Q9)</f>
        <v>0</v>
      </c>
      <c r="R29" s="909">
        <f>IF(R9=0,U9,R9)</f>
        <v>0</v>
      </c>
      <c r="S29" s="863"/>
      <c r="T29" s="860"/>
      <c r="U29" s="860"/>
    </row>
    <row r="30" spans="1:24" s="28" customFormat="1" ht="14" hidden="1" customHeight="1" x14ac:dyDescent="0.15">
      <c r="A30" s="919" t="str">
        <f>'5finance'!A32</f>
        <v>Downpayment/cash subsidy</v>
      </c>
      <c r="B30" s="909">
        <f>IF(B10=0,U10,B10)</f>
        <v>0</v>
      </c>
      <c r="C30" s="909">
        <f>IF(C10=0,U10,C10)</f>
        <v>0</v>
      </c>
      <c r="D30" s="909">
        <f>IF(D10=0,U10,D10)</f>
        <v>0</v>
      </c>
      <c r="E30" s="909">
        <f>IF(E10=0,U10,E10)</f>
        <v>0</v>
      </c>
      <c r="F30" s="909">
        <f>IF(F10=0,U10,F10)</f>
        <v>0</v>
      </c>
      <c r="G30" s="910">
        <f>IF(G10=0,U10,G10)</f>
        <v>0</v>
      </c>
      <c r="H30" s="909">
        <f>IF(H10=0,U10,H10)</f>
        <v>0</v>
      </c>
      <c r="I30" s="909">
        <f>IF(I10=0,U10,I10)</f>
        <v>0</v>
      </c>
      <c r="J30" s="909">
        <f>IF(J10=0,U10,J10)</f>
        <v>0</v>
      </c>
      <c r="K30" s="909">
        <f>IF(K10=0,U10,K10)</f>
        <v>0</v>
      </c>
      <c r="L30" s="910">
        <f>IF(L10=0,U10,L10)</f>
        <v>0</v>
      </c>
      <c r="M30" s="909">
        <f>IF(M10=0,U10,M10)</f>
        <v>0</v>
      </c>
      <c r="N30" s="909">
        <f>IF(N10=0,U10,N10)</f>
        <v>0</v>
      </c>
      <c r="O30" s="909">
        <f>IF(O10=0,U10,O10)</f>
        <v>0</v>
      </c>
      <c r="P30" s="920">
        <f>IF(P10=0,U10,P10)</f>
        <v>0</v>
      </c>
      <c r="Q30" s="909">
        <f>IF(Q10=0,U10,Q10)</f>
        <v>0</v>
      </c>
      <c r="R30" s="909">
        <f>IF(R10=0,U10,R10)</f>
        <v>0</v>
      </c>
      <c r="S30" s="6"/>
      <c r="T30" s="6"/>
      <c r="U30" s="6"/>
    </row>
    <row r="31" spans="1:24" s="28" customFormat="1" ht="14" hidden="1" customHeight="1" x14ac:dyDescent="0.15">
      <c r="A31" s="919" t="str">
        <f>'5finance'!A33</f>
        <v>Amount to be financed</v>
      </c>
      <c r="B31" s="909">
        <f>IF(B11=0,U11,B11)</f>
        <v>0</v>
      </c>
      <c r="C31" s="909">
        <f>IF(C11=0,U11,C11)</f>
        <v>0</v>
      </c>
      <c r="D31" s="909">
        <f>IF(D11=0,U11,D11)</f>
        <v>0</v>
      </c>
      <c r="E31" s="909">
        <f>IF(E11=0,U11,E11)</f>
        <v>0</v>
      </c>
      <c r="F31" s="909">
        <f>IF(F11=0,U11,F11)</f>
        <v>0</v>
      </c>
      <c r="G31" s="910">
        <f>IF(G11=0,U11,G11)</f>
        <v>0</v>
      </c>
      <c r="H31" s="909">
        <f>IF(H11=0,U11,H11)</f>
        <v>0</v>
      </c>
      <c r="I31" s="909">
        <f>IF(I11=0,U11,I11)</f>
        <v>0</v>
      </c>
      <c r="J31" s="909">
        <f>IF(J11=0,U11,J11)</f>
        <v>0</v>
      </c>
      <c r="K31" s="909">
        <f>IF(K11=0,U11,K11)</f>
        <v>0</v>
      </c>
      <c r="L31" s="910">
        <f>IF(L11=0,U11,L11)</f>
        <v>0</v>
      </c>
      <c r="M31" s="909">
        <f>IF(M11=0,U11,M11)</f>
        <v>0</v>
      </c>
      <c r="N31" s="909">
        <f>IF(N11=0,U11,N11)</f>
        <v>0</v>
      </c>
      <c r="O31" s="909">
        <f>IF(O11=0,U11,O11)</f>
        <v>0</v>
      </c>
      <c r="P31" s="920">
        <f>IF(P11=0,U11,P11)</f>
        <v>0</v>
      </c>
      <c r="Q31" s="909">
        <f>IF(Q11=0,U11,Q11)</f>
        <v>0</v>
      </c>
      <c r="R31" s="909">
        <f>IF(R11=0,U11,R11)</f>
        <v>0</v>
      </c>
      <c r="S31" s="6"/>
      <c r="T31" s="6"/>
      <c r="U31" s="6"/>
    </row>
    <row r="32" spans="1:24" s="28" customFormat="1" ht="14" hidden="1" customHeight="1" x14ac:dyDescent="0.15">
      <c r="A32" s="921" t="str">
        <f>'5finance'!A34</f>
        <v>Financing period, months</v>
      </c>
      <c r="B32" s="909">
        <f>IF(B12=0,U12,B12)</f>
        <v>0</v>
      </c>
      <c r="C32" s="909">
        <f>IF(C12=0,U12,C12)</f>
        <v>0</v>
      </c>
      <c r="D32" s="909">
        <f>IF(D12=0,U12,D12)</f>
        <v>0</v>
      </c>
      <c r="E32" s="909">
        <f>IF(E12=0,U12,E12)</f>
        <v>0</v>
      </c>
      <c r="F32" s="909">
        <f>IF(F12=0,U12,F12)</f>
        <v>0</v>
      </c>
      <c r="G32" s="910">
        <f>IF(G12=0,U12,G12)</f>
        <v>0</v>
      </c>
      <c r="H32" s="909">
        <f>IF(H12=0,U12,H12)</f>
        <v>0</v>
      </c>
      <c r="I32" s="909">
        <f>IF(I12=0,U12,I12)</f>
        <v>0</v>
      </c>
      <c r="J32" s="909">
        <f>IF(J12=0,U12,J12)</f>
        <v>0</v>
      </c>
      <c r="K32" s="909">
        <f>IF(K12=0,U12,K12)</f>
        <v>0</v>
      </c>
      <c r="L32" s="910">
        <f>IF(L12=0,U12,L12)</f>
        <v>0</v>
      </c>
      <c r="M32" s="909">
        <f>IF(M12=0,U12,M12)</f>
        <v>0</v>
      </c>
      <c r="N32" s="909">
        <f>IF(N12=0,U12,N12)</f>
        <v>0</v>
      </c>
      <c r="O32" s="909">
        <f>IF(O12=0,U12,O12)</f>
        <v>0</v>
      </c>
      <c r="P32" s="920">
        <f>IF(P12=0,U12,P12)</f>
        <v>0</v>
      </c>
      <c r="Q32" s="909">
        <f>IF(Q12=0,U12,Q12)</f>
        <v>0</v>
      </c>
      <c r="R32" s="909">
        <f>IF(R12=0,U12,R12)</f>
        <v>0</v>
      </c>
      <c r="S32" s="6"/>
      <c r="T32" s="6"/>
      <c r="U32" s="6"/>
    </row>
    <row r="33" spans="1:21" s="28" customFormat="1" ht="14" hidden="1" customHeight="1" x14ac:dyDescent="0.15">
      <c r="A33" s="922"/>
      <c r="B33" s="74"/>
      <c r="C33" s="74"/>
      <c r="D33" s="74"/>
      <c r="E33" s="74"/>
      <c r="F33" s="74"/>
      <c r="S33" s="6"/>
      <c r="T33" s="6"/>
      <c r="U33" s="6"/>
    </row>
    <row r="34" spans="1:21" s="28" customFormat="1" ht="25" hidden="1" customHeight="1" x14ac:dyDescent="0.15">
      <c r="A34" s="915" t="s">
        <v>400</v>
      </c>
      <c r="B34" s="916"/>
      <c r="C34" s="916"/>
      <c r="D34" s="916"/>
      <c r="E34" s="916"/>
      <c r="F34" s="916"/>
      <c r="G34" s="917"/>
      <c r="H34" s="916"/>
      <c r="I34" s="916"/>
      <c r="J34" s="916"/>
      <c r="K34" s="916"/>
      <c r="L34" s="917"/>
      <c r="M34" s="916"/>
      <c r="N34" s="916"/>
      <c r="O34" s="916"/>
      <c r="P34" s="918"/>
      <c r="Q34" s="916"/>
      <c r="R34" s="916"/>
      <c r="S34" s="6"/>
      <c r="T34" s="6"/>
      <c r="U34" s="6"/>
    </row>
    <row r="35" spans="1:21" s="28" customFormat="1" ht="14" hidden="1" customHeight="1" x14ac:dyDescent="0.15">
      <c r="A35" s="919" t="s">
        <v>398</v>
      </c>
      <c r="B35" s="909">
        <f>IF(B15=0,U15,B15)</f>
        <v>0</v>
      </c>
      <c r="C35" s="909">
        <f>IF(C15=0,U15,C15)</f>
        <v>0</v>
      </c>
      <c r="D35" s="909">
        <f>IF(D15=0,U15,D15)</f>
        <v>0</v>
      </c>
      <c r="E35" s="909">
        <f>IF(E15=0,U15,E15)</f>
        <v>0</v>
      </c>
      <c r="F35" s="909">
        <f>IF(F15=0,U15,F15)</f>
        <v>0</v>
      </c>
      <c r="G35" s="910">
        <f>IF(G15=0,U15,G15)</f>
        <v>0</v>
      </c>
      <c r="H35" s="909">
        <f>IF(H15=0,U15,H15)</f>
        <v>0</v>
      </c>
      <c r="I35" s="909">
        <f>IF(I15=0,U15,I15)</f>
        <v>0</v>
      </c>
      <c r="J35" s="909">
        <f>IF(J15=0,U15,J15)</f>
        <v>0</v>
      </c>
      <c r="K35" s="909">
        <f>IF(K15=0,U15,K15)</f>
        <v>0</v>
      </c>
      <c r="L35" s="910">
        <f>IF(L15=0,U15,L15)</f>
        <v>0</v>
      </c>
      <c r="M35" s="909">
        <f>IF(M15=0,U15,M15)</f>
        <v>0</v>
      </c>
      <c r="N35" s="909">
        <f>IF(N15=0,U15,N15)</f>
        <v>0</v>
      </c>
      <c r="O35" s="909">
        <f>IF(O15=0,U15,O15)</f>
        <v>0</v>
      </c>
      <c r="P35" s="920">
        <f>IF(P15=0,U15,P15)</f>
        <v>0</v>
      </c>
      <c r="Q35" s="909">
        <f>IF(Q15=0,U15,Q15)</f>
        <v>0</v>
      </c>
      <c r="R35" s="909">
        <f>IF(R15=0,U15,R15)</f>
        <v>0</v>
      </c>
      <c r="S35" s="6"/>
      <c r="T35" s="6"/>
      <c r="U35" s="6"/>
    </row>
    <row r="36" spans="1:21" s="28" customFormat="1" ht="14" hidden="1" customHeight="1" x14ac:dyDescent="0.15">
      <c r="A36" s="919" t="s">
        <v>399</v>
      </c>
      <c r="B36" s="909">
        <f>IF(B16=0,U16,B16)</f>
        <v>0</v>
      </c>
      <c r="C36" s="909">
        <f>IF(C16=0,U16,C16)</f>
        <v>0</v>
      </c>
      <c r="D36" s="909">
        <f>IF(D16=0,U16,D16)</f>
        <v>0</v>
      </c>
      <c r="E36" s="909">
        <f>IF(E16=0,U16,E16)</f>
        <v>0</v>
      </c>
      <c r="F36" s="909">
        <f>IF(F16=0,U16,F16)</f>
        <v>0</v>
      </c>
      <c r="G36" s="910">
        <f>IF(G16=0,U16,G16)</f>
        <v>0</v>
      </c>
      <c r="H36" s="909">
        <f>IF(H16=0,U16,H16)</f>
        <v>0</v>
      </c>
      <c r="I36" s="909">
        <f>IF(I16=0,U16,I16)</f>
        <v>0</v>
      </c>
      <c r="J36" s="909">
        <f>IF(J16=0,U16,J16)</f>
        <v>0</v>
      </c>
      <c r="K36" s="909">
        <f>IF(K16=0,U16,K16)</f>
        <v>0</v>
      </c>
      <c r="L36" s="910">
        <f>IF(L16=0,U16,L16)</f>
        <v>0</v>
      </c>
      <c r="M36" s="909">
        <f>IF(M16=0,U16,M16)</f>
        <v>0</v>
      </c>
      <c r="N36" s="909">
        <f>IF(N16=0,U16,N16)</f>
        <v>0</v>
      </c>
      <c r="O36" s="909">
        <f>IF(O16=0,U16,O16)</f>
        <v>0</v>
      </c>
      <c r="P36" s="920">
        <f>IF(P16=0,U16,P16)</f>
        <v>0</v>
      </c>
      <c r="Q36" s="909">
        <f>IF(Q16=0,U16,Q16)</f>
        <v>0</v>
      </c>
      <c r="R36" s="909">
        <f>IF(R16=0,U16,R16)</f>
        <v>0</v>
      </c>
      <c r="S36" s="6"/>
      <c r="T36" s="6"/>
      <c r="U36" s="6"/>
    </row>
    <row r="37" spans="1:21" s="28" customFormat="1" ht="14" hidden="1" customHeight="1" x14ac:dyDescent="0.15">
      <c r="A37" s="919" t="s">
        <v>397</v>
      </c>
      <c r="B37" s="909">
        <f>IF(B17=0,U17,B17)</f>
        <v>0</v>
      </c>
      <c r="C37" s="909">
        <f>IF(C17=0,U17,C17)</f>
        <v>0</v>
      </c>
      <c r="D37" s="909">
        <f>IF(D17=0,U17,D17)</f>
        <v>0</v>
      </c>
      <c r="E37" s="909">
        <f>IF(E17=0,U17,E17)</f>
        <v>0</v>
      </c>
      <c r="F37" s="909">
        <f>IF(F17=0,U17,F17)</f>
        <v>0</v>
      </c>
      <c r="G37" s="910">
        <f>IF(G17=0,U17,G17)</f>
        <v>0</v>
      </c>
      <c r="H37" s="909">
        <f>IF(H17=0,U17,H17)</f>
        <v>0</v>
      </c>
      <c r="I37" s="909">
        <f>IF(I17=0,U17,I17)</f>
        <v>0</v>
      </c>
      <c r="J37" s="909">
        <f>IF(J17=0,U17,J17)</f>
        <v>0</v>
      </c>
      <c r="K37" s="909">
        <f>IF(K17=0,U17,K17)</f>
        <v>0</v>
      </c>
      <c r="L37" s="910">
        <f>IF(L17=0,U17,L17)</f>
        <v>0</v>
      </c>
      <c r="M37" s="909">
        <f>IF(M17=0,U17,M17)</f>
        <v>0</v>
      </c>
      <c r="N37" s="909">
        <f>IF(N17=0,U17,N17)</f>
        <v>0</v>
      </c>
      <c r="O37" s="909">
        <f>IF(O17=0,U17,O17)</f>
        <v>0</v>
      </c>
      <c r="P37" s="920">
        <f>IF(P17=0,U17,P17)</f>
        <v>0</v>
      </c>
      <c r="Q37" s="909">
        <f>IF(Q17=0,U17,Q17)</f>
        <v>0</v>
      </c>
      <c r="R37" s="909">
        <f>IF(R17=0,U17,R17)</f>
        <v>0</v>
      </c>
      <c r="S37" s="6"/>
      <c r="T37" s="6"/>
      <c r="U37" s="6"/>
    </row>
    <row r="38" spans="1:21" s="28" customFormat="1" ht="14" hidden="1" customHeight="1" x14ac:dyDescent="0.15">
      <c r="A38" s="921" t="s">
        <v>396</v>
      </c>
      <c r="B38" s="909">
        <f>IF(B18=0,U18,B18)</f>
        <v>0</v>
      </c>
      <c r="C38" s="909">
        <f>IF(C18=0,U18,C18)</f>
        <v>0</v>
      </c>
      <c r="D38" s="909">
        <f>IF(D18=0,U18,D18)</f>
        <v>0</v>
      </c>
      <c r="E38" s="909">
        <f>IF(E18=0,U18,E18)</f>
        <v>0</v>
      </c>
      <c r="F38" s="909">
        <f>IF(F18=0,U18,F18)</f>
        <v>0</v>
      </c>
      <c r="G38" s="910">
        <f>IF(G18=0,U18,G18)</f>
        <v>0</v>
      </c>
      <c r="H38" s="909">
        <f>IF(H18=0,U18,H18)</f>
        <v>0</v>
      </c>
      <c r="I38" s="909">
        <f>IF(I18=0,U18,I18)</f>
        <v>0</v>
      </c>
      <c r="J38" s="909">
        <f>IF(J18=0,U18,J18)</f>
        <v>0</v>
      </c>
      <c r="K38" s="909">
        <f>IF(K18=0,U18,K18)</f>
        <v>0</v>
      </c>
      <c r="L38" s="910">
        <f>IF(L18=0,U18,L18)</f>
        <v>0</v>
      </c>
      <c r="M38" s="909">
        <f>IF(M18=0,U18,M18)</f>
        <v>0</v>
      </c>
      <c r="N38" s="909">
        <f>IF(N18=0,U18,N18)</f>
        <v>0</v>
      </c>
      <c r="O38" s="909">
        <f>IF(O18=0,U18,O18)</f>
        <v>0</v>
      </c>
      <c r="P38" s="920">
        <f>IF(P18=0,U18,P18)</f>
        <v>0</v>
      </c>
      <c r="Q38" s="909">
        <f>IF(Q18=0,U18,Q18)</f>
        <v>0</v>
      </c>
      <c r="R38" s="909">
        <f>IF(R18=0,U18,R18)</f>
        <v>0</v>
      </c>
      <c r="S38" s="6"/>
      <c r="T38" s="6"/>
      <c r="U38" s="6"/>
    </row>
  </sheetData>
  <sheetProtection selectLockedCells="1"/>
  <mergeCells count="5">
    <mergeCell ref="S21:U21"/>
    <mergeCell ref="S3:U3"/>
    <mergeCell ref="S4:U4"/>
    <mergeCell ref="S5:U5"/>
    <mergeCell ref="S20:U20"/>
  </mergeCells>
  <printOptions headings="1"/>
  <pageMargins left="0.7" right="0.7" top="0.75" bottom="0.75" header="0.3" footer="0.3"/>
  <pageSetup paperSize="9" scale="73" fitToWidth="0" fitToHeight="5" orientation="landscape" horizontalDpi="4294967292" verticalDpi="4294967292" r:id="rId1"/>
  <headerFooter>
    <oddHeader>&amp;R&amp;K000000&amp;A
Page &amp;P of &amp;N</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34B45-4545-C540-A0C1-CAD53D0517FB}">
  <sheetPr>
    <tabColor rgb="FFFFFF00"/>
  </sheetPr>
  <dimension ref="A1:B14"/>
  <sheetViews>
    <sheetView zoomScale="400" zoomScaleNormal="400" workbookViewId="0">
      <selection activeCell="B43" sqref="B43"/>
    </sheetView>
  </sheetViews>
  <sheetFormatPr baseColWidth="10" defaultColWidth="10.6640625" defaultRowHeight="14" customHeight="1" x14ac:dyDescent="0.15"/>
  <cols>
    <col min="1" max="1" width="29.6640625" style="17" customWidth="1"/>
    <col min="2" max="2" width="11.5" style="6" bestFit="1" customWidth="1"/>
    <col min="3" max="3" width="2.5" style="6" customWidth="1"/>
    <col min="4" max="4" width="21.6640625" style="6" customWidth="1"/>
    <col min="5" max="16384" width="10.6640625" style="6"/>
  </cols>
  <sheetData>
    <row r="1" spans="1:2" ht="14" customHeight="1" x14ac:dyDescent="0.15">
      <c r="A1" s="432" t="s">
        <v>553</v>
      </c>
    </row>
    <row r="2" spans="1:2" ht="14" customHeight="1" x14ac:dyDescent="0.15">
      <c r="A2" s="432"/>
    </row>
    <row r="3" spans="1:2" ht="14" customHeight="1" x14ac:dyDescent="0.15">
      <c r="A3" s="501" t="s">
        <v>380</v>
      </c>
      <c r="B3" s="1272">
        <f>'6demographics'!S5</f>
        <v>0</v>
      </c>
    </row>
    <row r="4" spans="1:2" ht="14" customHeight="1" x14ac:dyDescent="0.15">
      <c r="A4" s="500" t="s">
        <v>381</v>
      </c>
      <c r="B4" s="1273">
        <f>'6demographics'!S8</f>
        <v>0</v>
      </c>
    </row>
    <row r="5" spans="1:2" ht="14" customHeight="1" x14ac:dyDescent="0.15">
      <c r="A5" s="500" t="s">
        <v>595</v>
      </c>
      <c r="B5" s="1274">
        <f>'6demographics'!S9</f>
        <v>0</v>
      </c>
    </row>
    <row r="6" spans="1:2" ht="14" customHeight="1" x14ac:dyDescent="0.15">
      <c r="A6" s="500" t="s">
        <v>596</v>
      </c>
      <c r="B6" s="1274">
        <f>'6demographics'!S10</f>
        <v>0</v>
      </c>
    </row>
    <row r="7" spans="1:2" ht="14" customHeight="1" x14ac:dyDescent="0.15">
      <c r="A7" s="6"/>
      <c r="B7" s="4"/>
    </row>
    <row r="8" spans="1:2" ht="14" customHeight="1" x14ac:dyDescent="0.15">
      <c r="A8" s="501" t="s">
        <v>382</v>
      </c>
      <c r="B8" s="1272">
        <f>'6demographics'!T6</f>
        <v>0</v>
      </c>
    </row>
    <row r="9" spans="1:2" ht="14" customHeight="1" x14ac:dyDescent="0.15">
      <c r="A9" s="500" t="s">
        <v>381</v>
      </c>
      <c r="B9" s="1273">
        <f>'6demographics'!T8</f>
        <v>0</v>
      </c>
    </row>
    <row r="10" spans="1:2" ht="14" customHeight="1" x14ac:dyDescent="0.15">
      <c r="A10" s="500" t="s">
        <v>595</v>
      </c>
      <c r="B10" s="1274">
        <f>'6demographics'!T9</f>
        <v>0</v>
      </c>
    </row>
    <row r="11" spans="1:2" ht="14" customHeight="1" x14ac:dyDescent="0.15">
      <c r="A11" s="500" t="s">
        <v>596</v>
      </c>
      <c r="B11" s="1274">
        <f>'6demographics'!T10</f>
        <v>0</v>
      </c>
    </row>
    <row r="14" spans="1:2" s="4" customFormat="1" ht="14" customHeight="1" x14ac:dyDescent="0.15">
      <c r="A14" s="466"/>
      <c r="B14" s="109"/>
    </row>
  </sheetData>
  <sheetProtection selectLockedCells="1"/>
  <printOptions headings="1"/>
  <pageMargins left="0.7" right="0.7" top="0.75" bottom="0.75" header="0.3" footer="0.3"/>
  <pageSetup paperSize="9" scale="73" fitToWidth="0" fitToHeight="5" orientation="landscape" horizontalDpi="4294967292" verticalDpi="4294967292" r:id="rId1"/>
  <headerFooter>
    <oddHeader>&amp;R&amp;K000000&amp;A
Page &amp;P of &amp;N</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48378-5CFE-2245-BB15-8606C6B3E8BA}">
  <sheetPr>
    <tabColor rgb="FFFFFF00"/>
  </sheetPr>
  <dimension ref="A1:P36"/>
  <sheetViews>
    <sheetView zoomScale="220" zoomScaleNormal="220" workbookViewId="0">
      <selection activeCell="B43" sqref="B43"/>
    </sheetView>
  </sheetViews>
  <sheetFormatPr baseColWidth="10" defaultColWidth="10.6640625" defaultRowHeight="14" customHeight="1" x14ac:dyDescent="0.15"/>
  <cols>
    <col min="1" max="1" width="43.83203125" style="17" customWidth="1"/>
    <col min="2" max="2" width="21.6640625" style="6" customWidth="1"/>
    <col min="3" max="3" width="22.33203125" style="6" customWidth="1"/>
    <col min="4" max="4" width="18.5" style="6" customWidth="1"/>
    <col min="5" max="5" width="21.33203125" style="6" customWidth="1"/>
    <col min="6" max="7" width="13.5" style="6" customWidth="1"/>
    <col min="8" max="16" width="7.83203125" style="6" customWidth="1"/>
    <col min="17" max="16384" width="10.6640625" style="6"/>
  </cols>
  <sheetData>
    <row r="1" spans="1:16" ht="14" customHeight="1" x14ac:dyDescent="0.15">
      <c r="A1" s="432" t="s">
        <v>402</v>
      </c>
    </row>
    <row r="2" spans="1:16" ht="14" customHeight="1" x14ac:dyDescent="0.15">
      <c r="A2" s="432"/>
    </row>
    <row r="3" spans="1:16" s="109" customFormat="1" ht="15" customHeight="1" x14ac:dyDescent="0.15">
      <c r="A3" s="929" t="s">
        <v>403</v>
      </c>
      <c r="B3" s="928" t="s">
        <v>405</v>
      </c>
      <c r="C3" s="928" t="s">
        <v>406</v>
      </c>
      <c r="D3" s="928" t="s">
        <v>604</v>
      </c>
      <c r="E3" s="928" t="s">
        <v>642</v>
      </c>
      <c r="F3" s="928"/>
      <c r="G3" s="928"/>
      <c r="H3" s="928"/>
      <c r="I3" s="928"/>
      <c r="J3" s="928"/>
      <c r="K3" s="928"/>
      <c r="L3" s="928"/>
      <c r="M3" s="928"/>
      <c r="N3" s="928"/>
      <c r="O3" s="928"/>
      <c r="P3" s="928"/>
    </row>
    <row r="4" spans="1:16" ht="14" customHeight="1" x14ac:dyDescent="0.15">
      <c r="A4" s="932" t="s">
        <v>618</v>
      </c>
      <c r="B4" s="1276"/>
      <c r="C4" s="1277"/>
      <c r="D4" s="1278"/>
    </row>
    <row r="5" spans="1:16" ht="14" customHeight="1" x14ac:dyDescent="0.15">
      <c r="A5" s="519" t="s">
        <v>643</v>
      </c>
      <c r="B5" s="1327" t="e">
        <f>10000/'6db'!B10</f>
        <v>#DIV/0!</v>
      </c>
      <c r="C5" s="1328">
        <f>10000/C8</f>
        <v>12.5</v>
      </c>
      <c r="D5" s="1278" t="e">
        <f>C5/B5*10</f>
        <v>#DIV/0!</v>
      </c>
      <c r="E5" s="25" t="s">
        <v>644</v>
      </c>
    </row>
    <row r="6" spans="1:16" ht="14" customHeight="1" x14ac:dyDescent="0.15">
      <c r="A6" s="932" t="s">
        <v>619</v>
      </c>
      <c r="B6" s="1276"/>
      <c r="C6" s="1277"/>
      <c r="D6" s="1278"/>
    </row>
    <row r="7" spans="1:16" ht="14" customHeight="1" x14ac:dyDescent="0.15">
      <c r="A7" s="519" t="s">
        <v>605</v>
      </c>
      <c r="B7" s="1329">
        <f>'6db'!B5</f>
        <v>0</v>
      </c>
      <c r="C7" s="1330">
        <v>400</v>
      </c>
      <c r="D7" s="1278">
        <f>B7/C7*10</f>
        <v>0</v>
      </c>
      <c r="E7" s="73" t="s">
        <v>645</v>
      </c>
    </row>
    <row r="8" spans="1:16" ht="14" hidden="1" customHeight="1" x14ac:dyDescent="0.15">
      <c r="A8" s="1275" t="s">
        <v>606</v>
      </c>
      <c r="B8" s="1279">
        <f>'6db'!B10</f>
        <v>0</v>
      </c>
      <c r="C8" s="1280">
        <v>800</v>
      </c>
      <c r="D8" s="1281">
        <f>B8/C8*10</f>
        <v>0</v>
      </c>
    </row>
    <row r="9" spans="1:16" s="55" customFormat="1" ht="14" hidden="1" customHeight="1" x14ac:dyDescent="0.15">
      <c r="A9" s="1275" t="s">
        <v>617</v>
      </c>
      <c r="B9" s="1326" t="e">
        <f>Q!N38*B5</f>
        <v>#DIV/0!</v>
      </c>
      <c r="C9" s="1326">
        <f>IF(B8&gt;O30,P36,IF(B8&gt;N30,O36,IF(B8&gt;M30,N36,IF(B8&gt;L30,M36,IF(B8&gt;K30,L36,IF(B8&gt;J30,K36,IF(B8&gt;I30,J36,IF(B8&gt;H30,I36,H36))))))))</f>
        <v>13</v>
      </c>
      <c r="D9" s="1281" t="e">
        <f>B9/C9*10</f>
        <v>#DIV/0!</v>
      </c>
    </row>
    <row r="10" spans="1:16" ht="14" customHeight="1" x14ac:dyDescent="0.15">
      <c r="A10" s="519" t="s">
        <v>646</v>
      </c>
      <c r="B10" s="1327" t="e">
        <f>(Q!N37+SUM(Q!G45:I49))/Q!Q37*B5</f>
        <v>#DIV/0!</v>
      </c>
      <c r="C10" s="1327">
        <f>C9</f>
        <v>13</v>
      </c>
      <c r="D10" s="1278" t="e">
        <f>B10/C10*10</f>
        <v>#DIV/0!</v>
      </c>
      <c r="E10" s="25" t="s">
        <v>650</v>
      </c>
    </row>
    <row r="11" spans="1:16" ht="14" customHeight="1" x14ac:dyDescent="0.15">
      <c r="A11" s="932" t="s">
        <v>608</v>
      </c>
      <c r="B11" s="1307"/>
      <c r="C11" s="1277"/>
      <c r="D11" s="1278"/>
      <c r="E11" s="25"/>
    </row>
    <row r="12" spans="1:16" ht="14" customHeight="1" x14ac:dyDescent="0.15">
      <c r="A12" s="519" t="s">
        <v>602</v>
      </c>
      <c r="B12" s="1282" t="e">
        <f>'2db'!B19</f>
        <v>#DIV/0!</v>
      </c>
      <c r="C12" s="1283">
        <v>0.15</v>
      </c>
      <c r="D12" s="1278" t="e">
        <f>B12/C12*10</f>
        <v>#DIV/0!</v>
      </c>
      <c r="E12" s="25" t="s">
        <v>649</v>
      </c>
    </row>
    <row r="13" spans="1:16" ht="14" customHeight="1" x14ac:dyDescent="0.15">
      <c r="A13" s="519" t="s">
        <v>603</v>
      </c>
      <c r="B13" s="1282">
        <f>'3db'!F14</f>
        <v>0</v>
      </c>
      <c r="C13" s="1283">
        <v>0.15</v>
      </c>
      <c r="D13" s="1278">
        <f>B13/C13*10</f>
        <v>0</v>
      </c>
      <c r="E13" s="25" t="s">
        <v>649</v>
      </c>
    </row>
    <row r="14" spans="1:16" ht="14" customHeight="1" x14ac:dyDescent="0.15">
      <c r="A14" s="519" t="s">
        <v>601</v>
      </c>
      <c r="B14" s="1282">
        <f>'4db'!S23</f>
        <v>0</v>
      </c>
      <c r="C14" s="1283">
        <v>0.15</v>
      </c>
      <c r="D14" s="1278">
        <f>B14/C14*10</f>
        <v>0</v>
      </c>
      <c r="E14" s="25" t="s">
        <v>649</v>
      </c>
    </row>
    <row r="15" spans="1:16" ht="14" customHeight="1" x14ac:dyDescent="0.15">
      <c r="A15" s="932" t="s">
        <v>607</v>
      </c>
      <c r="B15" s="1284"/>
      <c r="C15" s="1277"/>
      <c r="D15" s="1278"/>
      <c r="E15" s="25"/>
    </row>
    <row r="16" spans="1:16" ht="14" customHeight="1" x14ac:dyDescent="0.15">
      <c r="A16" s="519" t="s">
        <v>474</v>
      </c>
      <c r="B16" s="1285">
        <f>'5affordability'!Y21</f>
        <v>0</v>
      </c>
      <c r="C16" s="1286">
        <v>1</v>
      </c>
      <c r="D16" s="1278">
        <f>B16/C16*10</f>
        <v>0</v>
      </c>
      <c r="E16" s="25" t="s">
        <v>647</v>
      </c>
    </row>
    <row r="17" spans="1:16" ht="14" customHeight="1" x14ac:dyDescent="0.15">
      <c r="A17" s="519" t="s">
        <v>600</v>
      </c>
      <c r="B17" s="1285">
        <f>'5affordability'!Y38</f>
        <v>0</v>
      </c>
      <c r="C17" s="1286">
        <v>1</v>
      </c>
      <c r="D17" s="1278">
        <f>B17/C17*10</f>
        <v>0</v>
      </c>
      <c r="E17" s="25" t="s">
        <v>648</v>
      </c>
    </row>
    <row r="18" spans="1:16" ht="14" customHeight="1" x14ac:dyDescent="0.15">
      <c r="A18" s="531"/>
      <c r="B18" s="927"/>
      <c r="C18" s="930"/>
      <c r="D18" s="520"/>
    </row>
    <row r="19" spans="1:16" ht="14" hidden="1" customHeight="1" x14ac:dyDescent="0.15">
      <c r="A19" s="922" t="s">
        <v>609</v>
      </c>
      <c r="B19" s="521"/>
      <c r="C19" s="930"/>
      <c r="D19" s="520"/>
    </row>
    <row r="20" spans="1:16" ht="14" hidden="1" customHeight="1" x14ac:dyDescent="0.15">
      <c r="A20" s="519" t="s">
        <v>407</v>
      </c>
      <c r="B20" s="521" t="e">
        <f>#REF!</f>
        <v>#REF!</v>
      </c>
      <c r="C20" s="931">
        <v>0.15</v>
      </c>
      <c r="D20" s="520" t="e">
        <f>B20/C20*10</f>
        <v>#REF!</v>
      </c>
    </row>
    <row r="21" spans="1:16" ht="14" hidden="1" customHeight="1" x14ac:dyDescent="0.15">
      <c r="A21" s="519" t="s">
        <v>408</v>
      </c>
      <c r="B21" s="521" t="e">
        <f>#REF!</f>
        <v>#REF!</v>
      </c>
      <c r="C21" s="931">
        <v>0.25</v>
      </c>
      <c r="D21" s="520" t="e">
        <f>B21/C21*10</f>
        <v>#REF!</v>
      </c>
    </row>
    <row r="22" spans="1:16" ht="14" hidden="1" customHeight="1" x14ac:dyDescent="0.15">
      <c r="A22" s="531"/>
      <c r="B22" s="521"/>
      <c r="C22" s="521"/>
      <c r="D22" s="520"/>
    </row>
    <row r="23" spans="1:16" ht="14" hidden="1" customHeight="1" x14ac:dyDescent="0.15">
      <c r="A23" s="519" t="s">
        <v>409</v>
      </c>
      <c r="B23" s="522" t="e">
        <f>#REF!</f>
        <v>#REF!</v>
      </c>
    </row>
    <row r="24" spans="1:16" ht="28" hidden="1" customHeight="1" x14ac:dyDescent="0.15">
      <c r="A24" s="532" t="s">
        <v>411</v>
      </c>
      <c r="B24" s="524" t="e">
        <f>-#REF!</f>
        <v>#REF!</v>
      </c>
      <c r="C24" s="28" t="s">
        <v>412</v>
      </c>
    </row>
    <row r="25" spans="1:16" ht="14" hidden="1" customHeight="1" x14ac:dyDescent="0.15">
      <c r="A25" s="532" t="s">
        <v>410</v>
      </c>
      <c r="B25" s="523">
        <v>-2000000</v>
      </c>
      <c r="C25" s="28" t="s">
        <v>418</v>
      </c>
    </row>
    <row r="26" spans="1:16" ht="14" hidden="1" customHeight="1" x14ac:dyDescent="0.15">
      <c r="A26" s="500" t="s">
        <v>419</v>
      </c>
      <c r="B26" s="523" t="e">
        <f>SUM(B23:B25)</f>
        <v>#REF!</v>
      </c>
    </row>
    <row r="27" spans="1:16" ht="14" hidden="1" customHeight="1" x14ac:dyDescent="0.15">
      <c r="A27" s="500" t="s">
        <v>404</v>
      </c>
      <c r="B27" s="530" t="e">
        <f>B26/Q!Q37</f>
        <v>#REF!</v>
      </c>
    </row>
    <row r="28" spans="1:16" ht="14" customHeight="1" x14ac:dyDescent="0.15">
      <c r="A28" s="20"/>
      <c r="B28" s="530"/>
      <c r="E28" s="1308" t="s">
        <v>651</v>
      </c>
    </row>
    <row r="29" spans="1:16" s="4" customFormat="1" ht="14" customHeight="1" x14ac:dyDescent="0.15">
      <c r="A29" s="466"/>
      <c r="B29" s="1327"/>
      <c r="C29" s="6"/>
      <c r="F29" s="1467" t="s">
        <v>637</v>
      </c>
      <c r="G29" s="1467"/>
    </row>
    <row r="30" spans="1:16" ht="14" customHeight="1" x14ac:dyDescent="0.15">
      <c r="E30" s="1312" t="s">
        <v>636</v>
      </c>
      <c r="F30" s="1311" t="s">
        <v>638</v>
      </c>
      <c r="G30" s="1311" t="s">
        <v>639</v>
      </c>
      <c r="H30" s="1313">
        <v>200</v>
      </c>
      <c r="I30" s="1313">
        <v>300</v>
      </c>
      <c r="J30" s="1313">
        <v>400</v>
      </c>
      <c r="K30" s="1314">
        <v>500</v>
      </c>
      <c r="L30" s="1313">
        <v>600</v>
      </c>
      <c r="M30" s="1313">
        <v>700</v>
      </c>
      <c r="N30" s="1313">
        <v>800</v>
      </c>
      <c r="O30" s="1313">
        <v>900</v>
      </c>
      <c r="P30" s="1313">
        <v>1000</v>
      </c>
    </row>
    <row r="31" spans="1:16" ht="14" customHeight="1" x14ac:dyDescent="0.15">
      <c r="E31" s="3" t="s">
        <v>635</v>
      </c>
      <c r="F31" s="1315">
        <v>5.0000000000000001E-3</v>
      </c>
      <c r="G31" s="1315">
        <v>2.5000000000000001E-3</v>
      </c>
      <c r="H31" s="1309">
        <f>K31+(H30-K30)/100*F31</f>
        <v>3.5000000000000003E-2</v>
      </c>
      <c r="I31" s="1309">
        <f>K31+(I30-K30)/100*F31</f>
        <v>0.04</v>
      </c>
      <c r="J31" s="1309">
        <f>K31+(J30-K30)/100*F31</f>
        <v>4.5000000000000005E-2</v>
      </c>
      <c r="K31" s="1316">
        <v>0.05</v>
      </c>
      <c r="L31" s="1309">
        <f>K31+(L30-K30)/100*G31</f>
        <v>5.2500000000000005E-2</v>
      </c>
      <c r="M31" s="1309">
        <f>K31+(M30-K30)/100*G31</f>
        <v>5.5E-2</v>
      </c>
      <c r="N31" s="1309">
        <f>K31+(N30-K30)/100*G31</f>
        <v>5.7500000000000002E-2</v>
      </c>
      <c r="O31" s="1309">
        <f>K31+(O30-K30)/100*G31</f>
        <v>6.0000000000000005E-2</v>
      </c>
      <c r="P31" s="1309">
        <f>K31+(P30-K30)/100*G31</f>
        <v>6.25E-2</v>
      </c>
    </row>
    <row r="32" spans="1:16" ht="14" customHeight="1" x14ac:dyDescent="0.15">
      <c r="E32" s="3" t="s">
        <v>632</v>
      </c>
      <c r="F32" s="1317">
        <v>0.01</v>
      </c>
      <c r="G32" s="1317">
        <v>5.0000000000000001E-3</v>
      </c>
      <c r="H32" s="1309">
        <f>K32+(H30-K30)/100*F32</f>
        <v>7.0000000000000007E-2</v>
      </c>
      <c r="I32" s="1309">
        <f>K32+(I30-K30)/100*F32</f>
        <v>0.08</v>
      </c>
      <c r="J32" s="1309">
        <f>K32+(J30-K30)/100*F32</f>
        <v>9.0000000000000011E-2</v>
      </c>
      <c r="K32" s="1316">
        <v>0.1</v>
      </c>
      <c r="L32" s="1309">
        <f>K32+(L30-K30)/100*G32</f>
        <v>0.10500000000000001</v>
      </c>
      <c r="M32" s="1309">
        <f>K32+(M30-K30)/100*G32</f>
        <v>0.11</v>
      </c>
      <c r="N32" s="1309">
        <f>K32+(N30-K30)/100*G32</f>
        <v>0.115</v>
      </c>
      <c r="O32" s="1309">
        <f>K32+(O30-K30)/100*G32</f>
        <v>0.12000000000000001</v>
      </c>
      <c r="P32" s="1309">
        <f>K32+(P30-K30)/100*G32</f>
        <v>0.125</v>
      </c>
    </row>
    <row r="33" spans="5:16" ht="14" customHeight="1" x14ac:dyDescent="0.15">
      <c r="E33" s="1318" t="s">
        <v>633</v>
      </c>
      <c r="F33" s="1319">
        <v>1.4999999999999999E-2</v>
      </c>
      <c r="G33" s="1319">
        <v>7.4999999999999997E-3</v>
      </c>
      <c r="H33" s="1310">
        <f>K33+(H30-K30)/100*F33</f>
        <v>0.15500000000000003</v>
      </c>
      <c r="I33" s="1310">
        <f>K33+(I30-K30)/100*F33</f>
        <v>0.17</v>
      </c>
      <c r="J33" s="1310">
        <f>K33+(J30-K30)/100*F33</f>
        <v>0.185</v>
      </c>
      <c r="K33" s="1319">
        <v>0.2</v>
      </c>
      <c r="L33" s="1310">
        <f>K33+(L30-K30)/100*G33</f>
        <v>0.20750000000000002</v>
      </c>
      <c r="M33" s="1310">
        <f>K33+(M30-K30)/100*G33</f>
        <v>0.21500000000000002</v>
      </c>
      <c r="N33" s="1310">
        <f>K33+(N30-K30)/100*G33</f>
        <v>0.2225</v>
      </c>
      <c r="O33" s="1310">
        <f>K33+(O30-K30)/100*G33</f>
        <v>0.23</v>
      </c>
      <c r="P33" s="1310">
        <f>K33+(P30-K30)/100*G33</f>
        <v>0.23750000000000002</v>
      </c>
    </row>
    <row r="34" spans="5:16" ht="14" customHeight="1" x14ac:dyDescent="0.15">
      <c r="E34" s="75" t="s">
        <v>634</v>
      </c>
      <c r="F34" s="1320">
        <f t="shared" ref="F34:P34" si="0">SUM(F31:F33)</f>
        <v>0.03</v>
      </c>
      <c r="G34" s="1320">
        <f t="shared" si="0"/>
        <v>1.4999999999999999E-2</v>
      </c>
      <c r="H34" s="1320">
        <f t="shared" si="0"/>
        <v>0.26</v>
      </c>
      <c r="I34" s="1320">
        <f t="shared" si="0"/>
        <v>0.29000000000000004</v>
      </c>
      <c r="J34" s="1320">
        <f t="shared" si="0"/>
        <v>0.32</v>
      </c>
      <c r="K34" s="1321">
        <f t="shared" si="0"/>
        <v>0.35000000000000003</v>
      </c>
      <c r="L34" s="1320">
        <f t="shared" si="0"/>
        <v>0.36500000000000005</v>
      </c>
      <c r="M34" s="1320">
        <f t="shared" si="0"/>
        <v>0.38</v>
      </c>
      <c r="N34" s="1320">
        <f t="shared" si="0"/>
        <v>0.39500000000000002</v>
      </c>
      <c r="O34" s="1320">
        <f t="shared" si="0"/>
        <v>0.41000000000000003</v>
      </c>
      <c r="P34" s="1320">
        <f t="shared" si="0"/>
        <v>0.42500000000000004</v>
      </c>
    </row>
    <row r="35" spans="5:16" ht="14" customHeight="1" x14ac:dyDescent="0.15">
      <c r="E35" s="3"/>
      <c r="F35" s="981"/>
      <c r="G35" s="981" t="s">
        <v>640</v>
      </c>
      <c r="H35" s="1322">
        <f t="shared" ref="H35:P35" si="1">H34*10000</f>
        <v>2600</v>
      </c>
      <c r="I35" s="1322">
        <f t="shared" si="1"/>
        <v>2900.0000000000005</v>
      </c>
      <c r="J35" s="1322">
        <f t="shared" si="1"/>
        <v>3200</v>
      </c>
      <c r="K35" s="1323">
        <f t="shared" si="1"/>
        <v>3500.0000000000005</v>
      </c>
      <c r="L35" s="1322">
        <f t="shared" si="1"/>
        <v>3650.0000000000005</v>
      </c>
      <c r="M35" s="1322">
        <f t="shared" si="1"/>
        <v>3800</v>
      </c>
      <c r="N35" s="1322">
        <f t="shared" si="1"/>
        <v>3950</v>
      </c>
      <c r="O35" s="1322">
        <f t="shared" si="1"/>
        <v>4100</v>
      </c>
      <c r="P35" s="1322">
        <f t="shared" si="1"/>
        <v>4250</v>
      </c>
    </row>
    <row r="36" spans="5:16" ht="14" customHeight="1" x14ac:dyDescent="0.15">
      <c r="E36" s="981"/>
      <c r="F36" s="981"/>
      <c r="G36" s="981" t="s">
        <v>641</v>
      </c>
      <c r="H36" s="1324">
        <f t="shared" ref="H36:P36" si="2">H35/H30</f>
        <v>13</v>
      </c>
      <c r="I36" s="1324">
        <f t="shared" si="2"/>
        <v>9.6666666666666679</v>
      </c>
      <c r="J36" s="1324">
        <f t="shared" si="2"/>
        <v>8</v>
      </c>
      <c r="K36" s="1325">
        <f t="shared" si="2"/>
        <v>7.0000000000000009</v>
      </c>
      <c r="L36" s="1324">
        <f t="shared" si="2"/>
        <v>6.0833333333333339</v>
      </c>
      <c r="M36" s="1324">
        <f t="shared" si="2"/>
        <v>5.4285714285714288</v>
      </c>
      <c r="N36" s="1324">
        <f t="shared" si="2"/>
        <v>4.9375</v>
      </c>
      <c r="O36" s="1324">
        <f t="shared" si="2"/>
        <v>4.5555555555555554</v>
      </c>
      <c r="P36" s="1324">
        <f t="shared" si="2"/>
        <v>4.25</v>
      </c>
    </row>
  </sheetData>
  <sheetProtection selectLockedCells="1"/>
  <mergeCells count="1">
    <mergeCell ref="F29:G29"/>
  </mergeCells>
  <printOptions headings="1"/>
  <pageMargins left="0.7" right="0.7" top="0.75" bottom="0.75" header="0.3" footer="0.3"/>
  <pageSetup paperSize="9" scale="73" fitToWidth="0" fitToHeight="5" orientation="landscape" horizontalDpi="4294967292" verticalDpi="4294967292" r:id="rId1"/>
  <headerFooter>
    <oddHeader>&amp;R&amp;K000000&amp;A
Page &amp;P of &amp;N</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C88D7-EED1-5B48-89D0-C42CB26574FA}">
  <sheetPr>
    <tabColor theme="1"/>
  </sheetPr>
  <dimension ref="A1:AU74"/>
  <sheetViews>
    <sheetView topLeftCell="A25" zoomScale="150" zoomScaleNormal="150" workbookViewId="0">
      <selection activeCell="H60" sqref="A1:XFD1048576"/>
    </sheetView>
  </sheetViews>
  <sheetFormatPr baseColWidth="10" defaultColWidth="10.6640625" defaultRowHeight="14" customHeight="1" x14ac:dyDescent="0.15"/>
  <cols>
    <col min="1" max="1" width="28.83203125" style="17" customWidth="1"/>
    <col min="2" max="2" width="11.5" style="17" customWidth="1"/>
    <col min="3" max="5" width="11.83203125" style="65" customWidth="1"/>
    <col min="6" max="6" width="10.6640625" style="10"/>
    <col min="7" max="7" width="11.83203125" style="65" bestFit="1" customWidth="1"/>
    <col min="8" max="8" width="11.83203125" style="65" customWidth="1"/>
    <col min="9" max="9" width="10.6640625" style="10"/>
    <col min="10" max="10" width="11.83203125" style="65" customWidth="1"/>
    <col min="11" max="11" width="10.6640625" style="10"/>
    <col min="12" max="12" width="11.83203125" style="65" bestFit="1" customWidth="1"/>
    <col min="13" max="13" width="11.83203125" style="10" bestFit="1" customWidth="1"/>
    <col min="14" max="16" width="10.6640625" style="10"/>
    <col min="17" max="17" width="10.6640625" style="2"/>
    <col min="18" max="18" width="10.6640625" style="6"/>
    <col min="19" max="19" width="2.5" style="6" customWidth="1"/>
    <col min="20" max="20" width="24.33203125" style="6" customWidth="1"/>
    <col min="21" max="21" width="10.6640625" customWidth="1"/>
    <col min="22" max="26" width="10.6640625" style="10"/>
    <col min="27" max="27" width="10.6640625" style="22"/>
    <col min="28" max="34" width="10.6640625" style="6"/>
    <col min="36" max="45" width="10.6640625" style="6"/>
    <col min="46" max="46" width="10.6640625" style="5"/>
    <col min="47" max="16384" width="10.6640625" style="6"/>
  </cols>
  <sheetData>
    <row r="1" spans="1:47" s="2" customFormat="1" ht="14" customHeight="1" x14ac:dyDescent="0.2">
      <c r="A1" s="36" t="s">
        <v>52</v>
      </c>
      <c r="B1" s="3"/>
      <c r="C1" s="3"/>
      <c r="D1" s="3"/>
      <c r="E1" s="3"/>
      <c r="AA1" s="77"/>
      <c r="AT1" s="24"/>
    </row>
    <row r="2" spans="1:47" ht="28" customHeight="1" thickBot="1" x14ac:dyDescent="0.2">
      <c r="A2" s="1458" t="s">
        <v>25</v>
      </c>
      <c r="B2" s="1458"/>
      <c r="C2" s="261" t="s">
        <v>26</v>
      </c>
      <c r="D2" s="261" t="s">
        <v>27</v>
      </c>
      <c r="E2" s="261" t="s">
        <v>427</v>
      </c>
      <c r="F2" s="261" t="s">
        <v>29</v>
      </c>
      <c r="G2" s="6"/>
      <c r="H2" s="6"/>
      <c r="I2" s="6"/>
      <c r="J2" s="6"/>
      <c r="K2" s="6"/>
      <c r="L2" s="6"/>
      <c r="M2" s="6"/>
      <c r="N2" s="6"/>
      <c r="O2" s="6"/>
      <c r="P2" s="6"/>
      <c r="Q2" s="6"/>
      <c r="U2" s="6"/>
      <c r="V2" s="6"/>
      <c r="W2" s="6"/>
      <c r="X2" s="6"/>
      <c r="Y2" s="6"/>
      <c r="Z2" s="6"/>
      <c r="AA2" s="6"/>
      <c r="AI2" s="6"/>
    </row>
    <row r="3" spans="1:47" ht="14" customHeight="1" x14ac:dyDescent="0.15">
      <c r="A3" s="260"/>
      <c r="B3" s="260" t="s">
        <v>20</v>
      </c>
      <c r="C3" s="764">
        <v>0</v>
      </c>
      <c r="D3" s="765">
        <v>0</v>
      </c>
      <c r="E3" s="764">
        <v>0</v>
      </c>
      <c r="F3" s="767">
        <f>C3+D3/2</f>
        <v>0</v>
      </c>
      <c r="G3" s="6"/>
      <c r="H3" s="6"/>
      <c r="I3" s="6"/>
      <c r="J3" s="6"/>
      <c r="K3" s="6"/>
      <c r="L3" s="6"/>
      <c r="M3" s="6"/>
      <c r="N3" s="6"/>
      <c r="O3" s="6"/>
      <c r="P3" s="6"/>
      <c r="Q3" s="6"/>
      <c r="U3" s="6"/>
      <c r="V3" s="6"/>
      <c r="W3" s="6"/>
      <c r="X3" s="6"/>
      <c r="Y3" s="6"/>
      <c r="Z3" s="6"/>
      <c r="AA3" s="6"/>
      <c r="AI3" s="6"/>
    </row>
    <row r="4" spans="1:47" ht="14" customHeight="1" x14ac:dyDescent="0.15">
      <c r="A4" s="84"/>
      <c r="B4" s="84" t="s">
        <v>21</v>
      </c>
      <c r="C4" s="765">
        <v>0</v>
      </c>
      <c r="D4" s="765">
        <v>0</v>
      </c>
      <c r="E4" s="764">
        <v>0</v>
      </c>
      <c r="F4" s="767">
        <f>C4+D4/2</f>
        <v>0</v>
      </c>
      <c r="G4" s="6"/>
      <c r="H4" s="6"/>
      <c r="I4" s="6"/>
      <c r="J4" s="6"/>
      <c r="K4" s="6"/>
      <c r="L4" s="6"/>
      <c r="M4" s="6"/>
      <c r="N4" s="6"/>
      <c r="O4" s="6"/>
      <c r="P4" s="6"/>
      <c r="Q4" s="6"/>
      <c r="U4" s="6"/>
      <c r="V4" s="6"/>
      <c r="W4" s="6"/>
      <c r="X4" s="6"/>
      <c r="Y4" s="6"/>
      <c r="Z4" s="6"/>
      <c r="AA4" s="6"/>
      <c r="AI4" s="6"/>
    </row>
    <row r="5" spans="1:47" ht="14" customHeight="1" x14ac:dyDescent="0.15">
      <c r="A5" s="86"/>
      <c r="B5" s="86" t="s">
        <v>22</v>
      </c>
      <c r="C5" s="765">
        <v>0</v>
      </c>
      <c r="D5" s="764">
        <v>0</v>
      </c>
      <c r="E5" s="764">
        <v>0</v>
      </c>
      <c r="F5" s="767">
        <f>C5+D5/2</f>
        <v>0</v>
      </c>
      <c r="G5" s="6"/>
      <c r="H5" s="6"/>
      <c r="I5" s="6"/>
      <c r="J5" s="6"/>
      <c r="K5" s="6"/>
      <c r="L5" s="6"/>
      <c r="M5" s="6"/>
      <c r="N5" s="6"/>
      <c r="O5" s="6"/>
      <c r="P5" s="6"/>
      <c r="Q5" s="6"/>
      <c r="U5" s="6"/>
      <c r="V5" s="6"/>
      <c r="W5" s="6"/>
      <c r="X5" s="6"/>
      <c r="Y5" s="6"/>
      <c r="Z5" s="6"/>
      <c r="AA5" s="6"/>
      <c r="AI5" s="6"/>
    </row>
    <row r="6" spans="1:47" ht="14" customHeight="1" x14ac:dyDescent="0.15">
      <c r="A6" s="8"/>
      <c r="B6" s="8" t="s">
        <v>28</v>
      </c>
      <c r="C6" s="766">
        <f>SUM(C3:C5)</f>
        <v>0</v>
      </c>
      <c r="D6" s="766">
        <f>SUM(D3:D5)/2</f>
        <v>0</v>
      </c>
      <c r="E6" s="766">
        <f>SUM(E3:E5)*0</f>
        <v>0</v>
      </c>
      <c r="F6" s="766">
        <f>SUM(F3:F5)</f>
        <v>0</v>
      </c>
      <c r="G6" s="6"/>
      <c r="H6" s="6"/>
      <c r="I6" s="6"/>
      <c r="J6" s="6"/>
      <c r="K6" s="6"/>
      <c r="L6" s="6"/>
      <c r="M6" s="6"/>
      <c r="N6" s="6"/>
      <c r="O6" s="6"/>
      <c r="P6" s="6"/>
      <c r="Q6" s="6"/>
      <c r="U6" s="6"/>
      <c r="V6" s="6"/>
      <c r="W6" s="6"/>
      <c r="X6" s="6"/>
      <c r="Y6" s="6"/>
      <c r="Z6" s="6"/>
      <c r="AA6" s="6"/>
      <c r="AI6" s="6"/>
    </row>
    <row r="7" spans="1:47" ht="14" customHeight="1" x14ac:dyDescent="0.15">
      <c r="C7" s="5"/>
      <c r="D7" s="5"/>
      <c r="E7" s="5"/>
      <c r="F7" s="6"/>
      <c r="G7" s="5"/>
      <c r="H7" s="6"/>
      <c r="I7" s="6"/>
      <c r="J7" s="6"/>
      <c r="K7" s="6"/>
      <c r="L7" s="6"/>
      <c r="M7" s="6"/>
      <c r="N7" s="6"/>
      <c r="O7" s="6"/>
      <c r="P7" s="6"/>
      <c r="Q7" s="6"/>
      <c r="U7" s="6"/>
      <c r="V7" s="6"/>
      <c r="W7" s="6"/>
      <c r="X7" s="6"/>
      <c r="Y7" s="6"/>
      <c r="Z7" s="6"/>
      <c r="AA7" s="6"/>
      <c r="AI7" s="6"/>
    </row>
    <row r="8" spans="1:47" s="24" customFormat="1" ht="16" customHeight="1" thickBot="1" x14ac:dyDescent="0.25">
      <c r="A8" s="36" t="s">
        <v>152</v>
      </c>
      <c r="B8" s="36"/>
      <c r="C8" s="75"/>
      <c r="D8" s="75"/>
      <c r="E8" s="75"/>
      <c r="F8" s="75"/>
      <c r="G8" s="75"/>
      <c r="H8" s="75"/>
      <c r="I8" s="75"/>
      <c r="J8" s="75"/>
      <c r="K8" s="75"/>
      <c r="L8" s="75"/>
      <c r="M8" s="75"/>
      <c r="N8" s="75"/>
      <c r="O8" s="75"/>
      <c r="P8" s="75"/>
      <c r="Q8" s="75"/>
      <c r="R8" s="2"/>
      <c r="S8" s="2"/>
      <c r="T8" s="2"/>
      <c r="U8" s="2"/>
      <c r="V8" s="543"/>
      <c r="W8" s="543"/>
      <c r="X8" s="544" t="s">
        <v>514</v>
      </c>
      <c r="Y8" s="2"/>
      <c r="Z8" s="2"/>
      <c r="AB8" s="713"/>
      <c r="AC8" s="713"/>
      <c r="AD8" s="713"/>
      <c r="AE8" s="713"/>
      <c r="AF8" s="713"/>
      <c r="AG8" s="713"/>
      <c r="AH8" s="713"/>
      <c r="AJ8" s="713"/>
      <c r="AK8" s="713"/>
      <c r="AL8" s="713"/>
      <c r="AM8" s="713"/>
      <c r="AN8" s="713"/>
      <c r="AO8" s="713"/>
      <c r="AP8" s="713"/>
      <c r="AQ8" s="713"/>
      <c r="AR8" s="713"/>
      <c r="AS8" s="713"/>
      <c r="AT8" s="713"/>
    </row>
    <row r="9" spans="1:47" s="26" customFormat="1" ht="54" customHeight="1" thickBot="1" x14ac:dyDescent="0.2">
      <c r="A9" s="1454" t="s">
        <v>51</v>
      </c>
      <c r="B9" s="1455"/>
      <c r="C9" s="554" t="s">
        <v>90</v>
      </c>
      <c r="D9" s="554" t="s">
        <v>91</v>
      </c>
      <c r="E9" s="555" t="s">
        <v>151</v>
      </c>
      <c r="F9" s="556" t="s">
        <v>425</v>
      </c>
      <c r="G9" s="152" t="s">
        <v>60</v>
      </c>
      <c r="H9" s="153" t="s">
        <v>94</v>
      </c>
      <c r="I9" s="154" t="s">
        <v>95</v>
      </c>
      <c r="J9" s="153" t="s">
        <v>96</v>
      </c>
      <c r="K9" s="154" t="s">
        <v>97</v>
      </c>
      <c r="L9" s="155" t="s">
        <v>93</v>
      </c>
      <c r="M9" s="157" t="s">
        <v>98</v>
      </c>
      <c r="N9" s="533" t="s">
        <v>61</v>
      </c>
      <c r="O9" s="533" t="s">
        <v>62</v>
      </c>
      <c r="P9" s="534" t="s">
        <v>424</v>
      </c>
      <c r="Q9" s="156" t="s">
        <v>423</v>
      </c>
      <c r="R9" s="264" t="s">
        <v>38</v>
      </c>
      <c r="S9" s="22"/>
      <c r="T9" s="22"/>
      <c r="U9" s="22"/>
      <c r="V9" s="545"/>
      <c r="W9" s="545"/>
      <c r="X9" s="546" t="s">
        <v>431</v>
      </c>
      <c r="Y9" s="710" t="s">
        <v>496</v>
      </c>
      <c r="Z9" s="710" t="s">
        <v>495</v>
      </c>
      <c r="AA9" s="710" t="s">
        <v>502</v>
      </c>
      <c r="AB9" s="710" t="s">
        <v>505</v>
      </c>
      <c r="AC9" s="710" t="s">
        <v>506</v>
      </c>
      <c r="AD9" s="710" t="s">
        <v>498</v>
      </c>
      <c r="AE9" s="710" t="s">
        <v>504</v>
      </c>
      <c r="AF9" s="710" t="s">
        <v>515</v>
      </c>
      <c r="AG9" s="710" t="s">
        <v>497</v>
      </c>
      <c r="AH9" s="710" t="s">
        <v>503</v>
      </c>
      <c r="AI9" s="710" t="s">
        <v>517</v>
      </c>
      <c r="AJ9" s="710" t="s">
        <v>516</v>
      </c>
      <c r="AK9" s="710" t="s">
        <v>518</v>
      </c>
      <c r="AL9" s="710" t="s">
        <v>513</v>
      </c>
      <c r="AM9" s="714" t="s">
        <v>186</v>
      </c>
      <c r="AN9" s="710"/>
      <c r="AO9" s="710" t="s">
        <v>499</v>
      </c>
      <c r="AP9" s="710" t="s">
        <v>500</v>
      </c>
      <c r="AQ9" s="710" t="s">
        <v>501</v>
      </c>
      <c r="AR9" s="710" t="s">
        <v>499</v>
      </c>
      <c r="AS9" s="710" t="s">
        <v>500</v>
      </c>
      <c r="AT9" s="710" t="s">
        <v>501</v>
      </c>
      <c r="AU9" s="717" t="s">
        <v>422</v>
      </c>
    </row>
    <row r="10" spans="1:47" s="545" customFormat="1" ht="14" customHeight="1" x14ac:dyDescent="0.15">
      <c r="A10" s="557"/>
      <c r="B10" s="558" t="str">
        <f>C9</f>
        <v>Environmental reservation</v>
      </c>
      <c r="C10" s="818">
        <f>C60*10000</f>
        <v>0</v>
      </c>
      <c r="D10" s="817"/>
      <c r="E10" s="817"/>
      <c r="F10" s="769">
        <f>SUM(C10:E10)</f>
        <v>0</v>
      </c>
      <c r="G10" s="618"/>
      <c r="H10" s="618"/>
      <c r="I10" s="618"/>
      <c r="J10" s="618"/>
      <c r="K10" s="618"/>
      <c r="L10" s="618"/>
      <c r="M10" s="618"/>
      <c r="N10" s="618"/>
      <c r="O10" s="618"/>
      <c r="P10" s="618"/>
      <c r="Q10" s="805">
        <f>F10</f>
        <v>0</v>
      </c>
      <c r="R10" s="158" t="e">
        <f>Q10/Q37</f>
        <v>#DIV/0!</v>
      </c>
      <c r="Y10" s="715"/>
      <c r="Z10" s="715"/>
      <c r="AA10" s="715"/>
      <c r="AB10" s="715"/>
      <c r="AC10" s="715"/>
      <c r="AD10" s="715"/>
      <c r="AE10" s="715"/>
      <c r="AF10" s="715"/>
      <c r="AG10" s="715"/>
      <c r="AH10" s="715"/>
      <c r="AJ10" s="715"/>
      <c r="AK10" s="715"/>
      <c r="AL10" s="715"/>
      <c r="AM10" s="715"/>
      <c r="AN10" s="715"/>
      <c r="AO10" s="715"/>
      <c r="AP10" s="715"/>
      <c r="AQ10" s="715"/>
      <c r="AU10" s="715"/>
    </row>
    <row r="11" spans="1:47" s="545" customFormat="1" ht="14" customHeight="1" x14ac:dyDescent="0.15">
      <c r="A11" s="557"/>
      <c r="B11" s="558" t="str">
        <f>D9</f>
        <v>Social reservation</v>
      </c>
      <c r="C11" s="817"/>
      <c r="D11" s="818">
        <f>D60*10000</f>
        <v>0</v>
      </c>
      <c r="E11" s="817"/>
      <c r="F11" s="769">
        <f>SUM(C11:E11)</f>
        <v>0</v>
      </c>
      <c r="G11" s="618"/>
      <c r="H11" s="618"/>
      <c r="I11" s="618"/>
      <c r="J11" s="618"/>
      <c r="K11" s="618"/>
      <c r="L11" s="618"/>
      <c r="M11" s="618"/>
      <c r="N11" s="618"/>
      <c r="O11" s="618"/>
      <c r="P11" s="618"/>
      <c r="Q11" s="805">
        <f>F11</f>
        <v>0</v>
      </c>
      <c r="R11" s="158" t="e">
        <f>Q11/Q37</f>
        <v>#DIV/0!</v>
      </c>
      <c r="Y11" s="715"/>
      <c r="Z11" s="715"/>
      <c r="AA11" s="715"/>
      <c r="AB11" s="715"/>
      <c r="AC11" s="715"/>
      <c r="AD11" s="715"/>
      <c r="AE11" s="715"/>
      <c r="AF11" s="715"/>
      <c r="AG11" s="715"/>
      <c r="AH11" s="715"/>
      <c r="AJ11" s="715"/>
      <c r="AK11" s="715"/>
      <c r="AL11" s="715"/>
      <c r="AM11" s="715"/>
      <c r="AN11" s="715"/>
      <c r="AO11" s="715"/>
      <c r="AP11" s="715"/>
      <c r="AQ11" s="715"/>
      <c r="AU11" s="715"/>
    </row>
    <row r="12" spans="1:47" s="545" customFormat="1" ht="14" customHeight="1" x14ac:dyDescent="0.15">
      <c r="A12" s="557"/>
      <c r="B12" s="558" t="str">
        <f>E9</f>
        <v>Other non-developable area</v>
      </c>
      <c r="C12" s="817"/>
      <c r="D12" s="817"/>
      <c r="E12" s="768">
        <v>0</v>
      </c>
      <c r="F12" s="769">
        <f>SUM(C12:E12)</f>
        <v>0</v>
      </c>
      <c r="G12" s="618"/>
      <c r="H12" s="618"/>
      <c r="I12" s="618"/>
      <c r="J12" s="618"/>
      <c r="K12" s="618"/>
      <c r="L12" s="618"/>
      <c r="M12" s="618"/>
      <c r="N12" s="618"/>
      <c r="O12" s="618"/>
      <c r="P12" s="618"/>
      <c r="Q12" s="805">
        <f>F12</f>
        <v>0</v>
      </c>
      <c r="R12" s="158" t="e">
        <f>Q12/Q37</f>
        <v>#DIV/0!</v>
      </c>
      <c r="Y12" s="715"/>
      <c r="Z12" s="715"/>
      <c r="AA12" s="715"/>
      <c r="AB12" s="715"/>
      <c r="AC12" s="715"/>
      <c r="AD12" s="715"/>
      <c r="AE12" s="715"/>
      <c r="AF12" s="715"/>
      <c r="AG12" s="715"/>
      <c r="AH12" s="715"/>
      <c r="AJ12" s="715"/>
      <c r="AK12" s="715"/>
      <c r="AL12" s="715"/>
      <c r="AM12" s="715"/>
      <c r="AN12" s="715"/>
      <c r="AO12" s="715"/>
      <c r="AP12" s="715"/>
      <c r="AQ12" s="715"/>
      <c r="AU12" s="715"/>
    </row>
    <row r="13" spans="1:47" s="545" customFormat="1" ht="14" customHeight="1" x14ac:dyDescent="0.15">
      <c r="A13" s="559"/>
      <c r="B13" s="560" t="s">
        <v>92</v>
      </c>
      <c r="C13" s="770">
        <f>C10</f>
        <v>0</v>
      </c>
      <c r="D13" s="770">
        <f>D11</f>
        <v>0</v>
      </c>
      <c r="E13" s="771">
        <f>E12</f>
        <v>0</v>
      </c>
      <c r="F13" s="772">
        <f>SUM(F10:F12)</f>
        <v>0</v>
      </c>
      <c r="G13" s="618"/>
      <c r="H13" s="618"/>
      <c r="I13" s="618"/>
      <c r="J13" s="618"/>
      <c r="K13" s="618"/>
      <c r="L13" s="618"/>
      <c r="M13" s="618"/>
      <c r="N13" s="618"/>
      <c r="O13" s="618"/>
      <c r="P13" s="618"/>
      <c r="Q13" s="812">
        <f>SUM(Q10:Q12)</f>
        <v>0</v>
      </c>
      <c r="R13" s="263" t="e">
        <f>Q13/Q37</f>
        <v>#DIV/0!</v>
      </c>
      <c r="Y13" s="715"/>
      <c r="Z13" s="715"/>
      <c r="AA13" s="715"/>
      <c r="AB13" s="715"/>
      <c r="AC13" s="715"/>
      <c r="AD13" s="715"/>
      <c r="AE13" s="715"/>
      <c r="AF13" s="715"/>
      <c r="AG13" s="715"/>
      <c r="AH13" s="715"/>
      <c r="AJ13" s="715"/>
      <c r="AK13" s="715"/>
      <c r="AL13" s="715"/>
      <c r="AM13" s="715"/>
      <c r="AN13" s="715"/>
      <c r="AO13" s="715"/>
      <c r="AP13" s="715"/>
      <c r="AQ13" s="715"/>
      <c r="AU13" s="715"/>
    </row>
    <row r="14" spans="1:47" s="545" customFormat="1" ht="14" customHeight="1" x14ac:dyDescent="0.15">
      <c r="A14" s="561"/>
      <c r="B14" s="562" t="s">
        <v>12</v>
      </c>
      <c r="C14" s="563"/>
      <c r="D14" s="563"/>
      <c r="E14" s="563"/>
      <c r="F14" s="563"/>
      <c r="G14" s="563"/>
      <c r="H14" s="768">
        <v>0</v>
      </c>
      <c r="I14" s="768">
        <v>0</v>
      </c>
      <c r="J14" s="768">
        <v>0</v>
      </c>
      <c r="K14" s="768">
        <v>0</v>
      </c>
      <c r="L14" s="777">
        <v>0</v>
      </c>
      <c r="M14" s="777">
        <v>0</v>
      </c>
      <c r="N14" s="778">
        <f>SUM(G14:M14)</f>
        <v>0</v>
      </c>
      <c r="O14" s="779">
        <v>0</v>
      </c>
      <c r="P14" s="780">
        <f>SUM(N14:O14)</f>
        <v>0</v>
      </c>
      <c r="Q14" s="805">
        <f>P14</f>
        <v>0</v>
      </c>
      <c r="R14" s="158" t="e">
        <f>Q14/Q37</f>
        <v>#DIV/0!</v>
      </c>
      <c r="T14" s="561"/>
      <c r="U14" s="562" t="s">
        <v>12</v>
      </c>
      <c r="X14" s="547">
        <v>0</v>
      </c>
      <c r="Y14" s="720">
        <f>Y17</f>
        <v>0</v>
      </c>
      <c r="Z14" s="720">
        <f>Y17</f>
        <v>0</v>
      </c>
      <c r="AA14" s="722">
        <f>Z14*Y14</f>
        <v>0</v>
      </c>
      <c r="AB14" s="720">
        <f>AB17</f>
        <v>0</v>
      </c>
      <c r="AC14" s="720">
        <f>AC17</f>
        <v>0</v>
      </c>
      <c r="AD14" s="720">
        <f>Y14-AB14-AC14</f>
        <v>0</v>
      </c>
      <c r="AE14" s="720">
        <f>AE17</f>
        <v>0</v>
      </c>
      <c r="AF14" s="720">
        <f>AE17</f>
        <v>0</v>
      </c>
      <c r="AG14" s="720">
        <f>Z14-AE14-AF14</f>
        <v>0</v>
      </c>
      <c r="AH14" s="722">
        <f>AG14*AD14</f>
        <v>0</v>
      </c>
      <c r="AI14" s="736"/>
      <c r="AJ14" s="716">
        <v>0</v>
      </c>
      <c r="AK14" s="739">
        <f>ROUND(AI17*(1+AJ14),0)</f>
        <v>0</v>
      </c>
      <c r="AL14" s="722">
        <f>AG14*AD14*AK14</f>
        <v>0</v>
      </c>
      <c r="AM14" s="852">
        <f t="shared" ref="AM14:AM30" si="0">IF(AA14=0,0,AL14/AA14)</f>
        <v>0</v>
      </c>
      <c r="AN14" s="715"/>
      <c r="AO14" s="716">
        <v>0</v>
      </c>
      <c r="AP14" s="716">
        <v>0</v>
      </c>
      <c r="AQ14" s="716">
        <v>0</v>
      </c>
      <c r="AR14" s="720">
        <f>AO14*AG14</f>
        <v>0</v>
      </c>
      <c r="AS14" s="720">
        <f>AP14*AD14</f>
        <v>0</v>
      </c>
      <c r="AT14" s="739">
        <f>ROUND(AQ14*AK14,0)</f>
        <v>0</v>
      </c>
      <c r="AU14" s="718">
        <f>AL14*AP14*AQ14</f>
        <v>0</v>
      </c>
    </row>
    <row r="15" spans="1:47" s="545" customFormat="1" ht="14" customHeight="1" x14ac:dyDescent="0.15">
      <c r="A15" s="564"/>
      <c r="B15" s="565" t="s">
        <v>13</v>
      </c>
      <c r="C15" s="563"/>
      <c r="D15" s="563"/>
      <c r="E15" s="563"/>
      <c r="F15" s="563"/>
      <c r="G15" s="563"/>
      <c r="H15" s="768">
        <v>0</v>
      </c>
      <c r="I15" s="768">
        <v>0</v>
      </c>
      <c r="J15" s="768">
        <v>0</v>
      </c>
      <c r="K15" s="768">
        <v>0</v>
      </c>
      <c r="L15" s="777">
        <v>0</v>
      </c>
      <c r="M15" s="777">
        <v>0</v>
      </c>
      <c r="N15" s="778">
        <f>SUM(G15:M15)</f>
        <v>0</v>
      </c>
      <c r="O15" s="779">
        <v>0</v>
      </c>
      <c r="P15" s="780">
        <f t="shared" ref="P15:P30" si="1">SUM(N15:O15)</f>
        <v>0</v>
      </c>
      <c r="Q15" s="805">
        <f>P15</f>
        <v>0</v>
      </c>
      <c r="R15" s="158" t="e">
        <f>Q15/Q37</f>
        <v>#DIV/0!</v>
      </c>
      <c r="T15" s="564"/>
      <c r="U15" s="565" t="s">
        <v>13</v>
      </c>
      <c r="X15" s="547">
        <v>0</v>
      </c>
      <c r="Y15" s="720">
        <f>Y17</f>
        <v>0</v>
      </c>
      <c r="Z15" s="720">
        <f>Y21</f>
        <v>0</v>
      </c>
      <c r="AA15" s="722">
        <f>Z15*Y15</f>
        <v>0</v>
      </c>
      <c r="AB15" s="720">
        <f>AB17</f>
        <v>0</v>
      </c>
      <c r="AC15" s="720">
        <f>AC17</f>
        <v>0</v>
      </c>
      <c r="AD15" s="720">
        <f>Y15-AB15-AC15</f>
        <v>0</v>
      </c>
      <c r="AE15" s="720">
        <f>AE17</f>
        <v>0</v>
      </c>
      <c r="AF15" s="720">
        <f>AE21</f>
        <v>0</v>
      </c>
      <c r="AG15" s="720">
        <f>Z15-AE15-AF15</f>
        <v>0</v>
      </c>
      <c r="AH15" s="722">
        <f>AG15*AD15</f>
        <v>0</v>
      </c>
      <c r="AI15" s="736"/>
      <c r="AJ15" s="716">
        <v>0</v>
      </c>
      <c r="AK15" s="739">
        <f>ROUND(AI17*(1+AJ15),0)</f>
        <v>0</v>
      </c>
      <c r="AL15" s="722">
        <f>AG15*AD15*AK15</f>
        <v>0</v>
      </c>
      <c r="AM15" s="852">
        <f t="shared" si="0"/>
        <v>0</v>
      </c>
      <c r="AN15" s="715"/>
      <c r="AO15" s="716">
        <v>0</v>
      </c>
      <c r="AP15" s="716">
        <v>0</v>
      </c>
      <c r="AQ15" s="716">
        <v>0</v>
      </c>
      <c r="AR15" s="720">
        <f t="shared" ref="AR15:AR30" si="2">AO15*AG15</f>
        <v>0</v>
      </c>
      <c r="AS15" s="720">
        <f t="shared" ref="AS15:AS30" si="3">AP15*AD15</f>
        <v>0</v>
      </c>
      <c r="AT15" s="739">
        <f t="shared" ref="AT15:AT30" si="4">ROUND(AQ15*AK15,0)</f>
        <v>0</v>
      </c>
      <c r="AU15" s="718">
        <f>AL15*AP15*AQ15</f>
        <v>0</v>
      </c>
    </row>
    <row r="16" spans="1:47" s="545" customFormat="1" ht="14" customHeight="1" x14ac:dyDescent="0.15">
      <c r="A16" s="566"/>
      <c r="B16" s="567" t="s">
        <v>11</v>
      </c>
      <c r="C16" s="563"/>
      <c r="D16" s="563"/>
      <c r="E16" s="563"/>
      <c r="F16" s="563"/>
      <c r="G16" s="563"/>
      <c r="H16" s="768">
        <v>0</v>
      </c>
      <c r="I16" s="768">
        <v>0</v>
      </c>
      <c r="J16" s="768">
        <v>0</v>
      </c>
      <c r="K16" s="768">
        <v>0</v>
      </c>
      <c r="L16" s="777">
        <v>0</v>
      </c>
      <c r="M16" s="777">
        <v>0</v>
      </c>
      <c r="N16" s="778">
        <f>SUM(G16:M16)</f>
        <v>0</v>
      </c>
      <c r="O16" s="779">
        <v>0</v>
      </c>
      <c r="P16" s="780">
        <f t="shared" si="1"/>
        <v>0</v>
      </c>
      <c r="Q16" s="805">
        <f>P16</f>
        <v>0</v>
      </c>
      <c r="R16" s="158" t="e">
        <f>Q16/Q37</f>
        <v>#DIV/0!</v>
      </c>
      <c r="T16" s="566"/>
      <c r="U16" s="567" t="s">
        <v>11</v>
      </c>
      <c r="X16" s="547">
        <v>0</v>
      </c>
      <c r="Y16" s="720">
        <f>Y17</f>
        <v>0</v>
      </c>
      <c r="Z16" s="720">
        <f>Y24</f>
        <v>0</v>
      </c>
      <c r="AA16" s="722">
        <f>Z16*Y16</f>
        <v>0</v>
      </c>
      <c r="AB16" s="720">
        <f>AB17</f>
        <v>0</v>
      </c>
      <c r="AC16" s="720">
        <f>AC17</f>
        <v>0</v>
      </c>
      <c r="AD16" s="720">
        <f>Y16-AB16-AC16</f>
        <v>0</v>
      </c>
      <c r="AE16" s="720">
        <f>AE17</f>
        <v>0</v>
      </c>
      <c r="AF16" s="720">
        <f>AE24</f>
        <v>0</v>
      </c>
      <c r="AG16" s="720">
        <f>Z16-AE16-AF16</f>
        <v>0</v>
      </c>
      <c r="AH16" s="722">
        <f>AG16*AD16</f>
        <v>0</v>
      </c>
      <c r="AI16" s="736"/>
      <c r="AJ16" s="716">
        <v>0</v>
      </c>
      <c r="AK16" s="739">
        <f>ROUND(AI17*(1+AJ16),0)</f>
        <v>0</v>
      </c>
      <c r="AL16" s="722">
        <f>AG16*AD16*AK16</f>
        <v>0</v>
      </c>
      <c r="AM16" s="852">
        <f t="shared" si="0"/>
        <v>0</v>
      </c>
      <c r="AN16" s="715"/>
      <c r="AO16" s="716">
        <v>0</v>
      </c>
      <c r="AP16" s="716">
        <v>0</v>
      </c>
      <c r="AQ16" s="716">
        <v>0</v>
      </c>
      <c r="AR16" s="720">
        <f t="shared" si="2"/>
        <v>0</v>
      </c>
      <c r="AS16" s="720">
        <f t="shared" si="3"/>
        <v>0</v>
      </c>
      <c r="AT16" s="739">
        <f t="shared" si="4"/>
        <v>0</v>
      </c>
      <c r="AU16" s="718">
        <f>AL16*AP16*AQ16</f>
        <v>0</v>
      </c>
    </row>
    <row r="17" spans="1:47" s="545" customFormat="1" ht="14" customHeight="1" x14ac:dyDescent="0.15">
      <c r="A17" s="568"/>
      <c r="B17" s="569" t="s">
        <v>10</v>
      </c>
      <c r="C17" s="563"/>
      <c r="D17" s="563"/>
      <c r="E17" s="563"/>
      <c r="F17" s="563"/>
      <c r="G17" s="563"/>
      <c r="H17" s="768">
        <v>0</v>
      </c>
      <c r="I17" s="768">
        <v>0</v>
      </c>
      <c r="J17" s="768">
        <v>0</v>
      </c>
      <c r="K17" s="768">
        <v>0</v>
      </c>
      <c r="L17" s="777">
        <v>0</v>
      </c>
      <c r="M17" s="777">
        <v>0</v>
      </c>
      <c r="N17" s="778">
        <f>SUM(G17:M17)</f>
        <v>0</v>
      </c>
      <c r="O17" s="779">
        <v>0</v>
      </c>
      <c r="P17" s="780">
        <f t="shared" si="1"/>
        <v>0</v>
      </c>
      <c r="Q17" s="805">
        <f>P17</f>
        <v>0</v>
      </c>
      <c r="R17" s="158" t="e">
        <f>Q17/Q37</f>
        <v>#DIV/0!</v>
      </c>
      <c r="T17" s="568"/>
      <c r="U17" s="569" t="s">
        <v>10</v>
      </c>
      <c r="X17" s="547">
        <v>0</v>
      </c>
      <c r="Y17" s="721">
        <v>0</v>
      </c>
      <c r="Z17" s="721">
        <v>0</v>
      </c>
      <c r="AA17" s="722">
        <f>Z17*Y17</f>
        <v>0</v>
      </c>
      <c r="AB17" s="721">
        <v>0</v>
      </c>
      <c r="AC17" s="721">
        <v>0</v>
      </c>
      <c r="AD17" s="720">
        <f>Y17-AB17-AC17</f>
        <v>0</v>
      </c>
      <c r="AE17" s="721">
        <v>0</v>
      </c>
      <c r="AF17" s="720">
        <f>AE17</f>
        <v>0</v>
      </c>
      <c r="AG17" s="720">
        <f>Z17-AE17-AF17</f>
        <v>0</v>
      </c>
      <c r="AH17" s="722">
        <f>AG17*AD17</f>
        <v>0</v>
      </c>
      <c r="AI17" s="737">
        <v>0</v>
      </c>
      <c r="AJ17" s="719">
        <v>0</v>
      </c>
      <c r="AK17" s="739">
        <f>ROUND(AI17*(1+AJ17),0)</f>
        <v>0</v>
      </c>
      <c r="AL17" s="722">
        <f>AG17*AD17*AK17</f>
        <v>0</v>
      </c>
      <c r="AM17" s="852">
        <f t="shared" si="0"/>
        <v>0</v>
      </c>
      <c r="AN17" s="715"/>
      <c r="AO17" s="716">
        <v>0</v>
      </c>
      <c r="AP17" s="716">
        <v>0</v>
      </c>
      <c r="AQ17" s="716">
        <v>0</v>
      </c>
      <c r="AR17" s="720">
        <f t="shared" si="2"/>
        <v>0</v>
      </c>
      <c r="AS17" s="720">
        <f t="shared" si="3"/>
        <v>0</v>
      </c>
      <c r="AT17" s="739">
        <f t="shared" si="4"/>
        <v>0</v>
      </c>
      <c r="AU17" s="718">
        <f>AL17*AP17*AQ17</f>
        <v>0</v>
      </c>
    </row>
    <row r="18" spans="1:47" s="549" customFormat="1" ht="14" customHeight="1" x14ac:dyDescent="0.15">
      <c r="A18" s="1456" t="s">
        <v>39</v>
      </c>
      <c r="B18" s="1457"/>
      <c r="C18" s="563"/>
      <c r="D18" s="563"/>
      <c r="E18" s="563"/>
      <c r="F18" s="563">
        <f>SUM(F14:F17)</f>
        <v>0</v>
      </c>
      <c r="G18" s="563"/>
      <c r="H18" s="781">
        <f t="shared" ref="H18:Q18" si="5">SUM(H14:H17)</f>
        <v>0</v>
      </c>
      <c r="I18" s="781">
        <f t="shared" si="5"/>
        <v>0</v>
      </c>
      <c r="J18" s="781">
        <f t="shared" si="5"/>
        <v>0</v>
      </c>
      <c r="K18" s="781">
        <f t="shared" si="5"/>
        <v>0</v>
      </c>
      <c r="L18" s="781">
        <f t="shared" si="5"/>
        <v>0</v>
      </c>
      <c r="M18" s="782">
        <f t="shared" si="5"/>
        <v>0</v>
      </c>
      <c r="N18" s="783">
        <f t="shared" si="5"/>
        <v>0</v>
      </c>
      <c r="O18" s="783">
        <f t="shared" si="5"/>
        <v>0</v>
      </c>
      <c r="P18" s="886">
        <f t="shared" si="5"/>
        <v>0</v>
      </c>
      <c r="Q18" s="806">
        <f t="shared" si="5"/>
        <v>0</v>
      </c>
      <c r="R18" s="263" t="e">
        <f>Q18/Q37</f>
        <v>#DIV/0!</v>
      </c>
      <c r="T18" s="1456" t="s">
        <v>432</v>
      </c>
      <c r="U18" s="1457"/>
      <c r="X18" s="891">
        <f>C45*2</f>
        <v>0</v>
      </c>
      <c r="Y18" s="720">
        <f t="shared" ref="Y18:AH18" si="6">Y17</f>
        <v>0</v>
      </c>
      <c r="Z18" s="720">
        <f t="shared" si="6"/>
        <v>0</v>
      </c>
      <c r="AA18" s="722">
        <f t="shared" si="6"/>
        <v>0</v>
      </c>
      <c r="AB18" s="720">
        <f t="shared" si="6"/>
        <v>0</v>
      </c>
      <c r="AC18" s="720">
        <f t="shared" si="6"/>
        <v>0</v>
      </c>
      <c r="AD18" s="720">
        <f t="shared" si="6"/>
        <v>0</v>
      </c>
      <c r="AE18" s="720">
        <f t="shared" si="6"/>
        <v>0</v>
      </c>
      <c r="AF18" s="720">
        <f t="shared" si="6"/>
        <v>0</v>
      </c>
      <c r="AG18" s="720">
        <f t="shared" si="6"/>
        <v>0</v>
      </c>
      <c r="AH18" s="722">
        <f t="shared" si="6"/>
        <v>0</v>
      </c>
      <c r="AI18" s="739"/>
      <c r="AJ18" s="719"/>
      <c r="AK18" s="739">
        <f>AK17</f>
        <v>0</v>
      </c>
      <c r="AL18" s="722">
        <f>AL17</f>
        <v>0</v>
      </c>
      <c r="AM18" s="853">
        <f t="shared" si="0"/>
        <v>0</v>
      </c>
      <c r="AN18" s="715"/>
      <c r="AO18" s="719">
        <f>AO17</f>
        <v>0</v>
      </c>
      <c r="AP18" s="719">
        <f>AP17</f>
        <v>0</v>
      </c>
      <c r="AQ18" s="719">
        <f>AQ17</f>
        <v>0</v>
      </c>
      <c r="AR18" s="720">
        <f t="shared" si="2"/>
        <v>0</v>
      </c>
      <c r="AS18" s="720">
        <f t="shared" si="3"/>
        <v>0</v>
      </c>
      <c r="AT18" s="739">
        <f t="shared" si="4"/>
        <v>0</v>
      </c>
      <c r="AU18" s="718">
        <f>AU17</f>
        <v>0</v>
      </c>
    </row>
    <row r="19" spans="1:47" s="545" customFormat="1" ht="14" customHeight="1" x14ac:dyDescent="0.15">
      <c r="A19" s="570"/>
      <c r="B19" s="571" t="s">
        <v>14</v>
      </c>
      <c r="C19" s="563"/>
      <c r="D19" s="563"/>
      <c r="E19" s="563"/>
      <c r="F19" s="563"/>
      <c r="G19" s="563"/>
      <c r="H19" s="768">
        <v>0</v>
      </c>
      <c r="I19" s="768">
        <v>0</v>
      </c>
      <c r="J19" s="768">
        <v>0</v>
      </c>
      <c r="K19" s="768">
        <v>0</v>
      </c>
      <c r="L19" s="777">
        <v>0</v>
      </c>
      <c r="M19" s="777">
        <v>0</v>
      </c>
      <c r="N19" s="778">
        <f>SUM(G19:M19)</f>
        <v>0</v>
      </c>
      <c r="O19" s="779">
        <v>0</v>
      </c>
      <c r="P19" s="780">
        <f t="shared" si="1"/>
        <v>0</v>
      </c>
      <c r="Q19" s="805">
        <f>P19</f>
        <v>0</v>
      </c>
      <c r="R19" s="158" t="e">
        <f>Q19/Q37</f>
        <v>#DIV/0!</v>
      </c>
      <c r="T19" s="570"/>
      <c r="U19" s="571" t="s">
        <v>14</v>
      </c>
      <c r="X19" s="723">
        <v>0</v>
      </c>
      <c r="Y19" s="724">
        <f>Y21</f>
        <v>0</v>
      </c>
      <c r="Z19" s="724">
        <f>Y21</f>
        <v>0</v>
      </c>
      <c r="AA19" s="725">
        <f>Z19*Y19</f>
        <v>0</v>
      </c>
      <c r="AB19" s="724">
        <f>AB21</f>
        <v>0</v>
      </c>
      <c r="AC19" s="724">
        <f>AC21</f>
        <v>0</v>
      </c>
      <c r="AD19" s="724">
        <f>Y19-AB19-AC19</f>
        <v>0</v>
      </c>
      <c r="AE19" s="724">
        <f>AE21</f>
        <v>0</v>
      </c>
      <c r="AF19" s="724">
        <f>AE21</f>
        <v>0</v>
      </c>
      <c r="AG19" s="724">
        <f>Z19-AE19-AF19</f>
        <v>0</v>
      </c>
      <c r="AH19" s="725">
        <f>AG19*AD19</f>
        <v>0</v>
      </c>
      <c r="AI19" s="738"/>
      <c r="AJ19" s="726">
        <f>AJ15</f>
        <v>0</v>
      </c>
      <c r="AK19" s="740">
        <f>ROUND(AI21*(1+AJ19),0)</f>
        <v>0</v>
      </c>
      <c r="AL19" s="725">
        <f>AG19*AD19*AK19</f>
        <v>0</v>
      </c>
      <c r="AM19" s="852">
        <f t="shared" si="0"/>
        <v>0</v>
      </c>
      <c r="AN19" s="727"/>
      <c r="AO19" s="728">
        <v>0</v>
      </c>
      <c r="AP19" s="728">
        <v>0</v>
      </c>
      <c r="AQ19" s="728">
        <v>0</v>
      </c>
      <c r="AR19" s="724">
        <f t="shared" si="2"/>
        <v>0</v>
      </c>
      <c r="AS19" s="724">
        <f t="shared" si="3"/>
        <v>0</v>
      </c>
      <c r="AT19" s="740">
        <f t="shared" si="4"/>
        <v>0</v>
      </c>
      <c r="AU19" s="729">
        <f>AL19*AP19*AQ19</f>
        <v>0</v>
      </c>
    </row>
    <row r="20" spans="1:47" s="545" customFormat="1" ht="14" customHeight="1" x14ac:dyDescent="0.15">
      <c r="A20" s="572"/>
      <c r="B20" s="573" t="s">
        <v>15</v>
      </c>
      <c r="C20" s="563"/>
      <c r="D20" s="563"/>
      <c r="E20" s="563"/>
      <c r="F20" s="563"/>
      <c r="G20" s="563"/>
      <c r="H20" s="768">
        <v>0</v>
      </c>
      <c r="I20" s="768">
        <v>0</v>
      </c>
      <c r="J20" s="768">
        <v>0</v>
      </c>
      <c r="K20" s="768">
        <v>0</v>
      </c>
      <c r="L20" s="777">
        <v>0</v>
      </c>
      <c r="M20" s="777">
        <v>0</v>
      </c>
      <c r="N20" s="778">
        <f>SUM(G20:M20)</f>
        <v>0</v>
      </c>
      <c r="O20" s="779">
        <v>0</v>
      </c>
      <c r="P20" s="780">
        <f t="shared" si="1"/>
        <v>0</v>
      </c>
      <c r="Q20" s="805">
        <f>P20</f>
        <v>0</v>
      </c>
      <c r="R20" s="158" t="e">
        <f>Q20/Q37</f>
        <v>#DIV/0!</v>
      </c>
      <c r="T20" s="572"/>
      <c r="U20" s="573" t="s">
        <v>15</v>
      </c>
      <c r="X20" s="547">
        <v>0</v>
      </c>
      <c r="Y20" s="720">
        <f>Y21</f>
        <v>0</v>
      </c>
      <c r="Z20" s="720">
        <f>Y24</f>
        <v>0</v>
      </c>
      <c r="AA20" s="722">
        <f>Z20*Y20</f>
        <v>0</v>
      </c>
      <c r="AB20" s="720">
        <f>AB21</f>
        <v>0</v>
      </c>
      <c r="AC20" s="720">
        <f>AC21</f>
        <v>0</v>
      </c>
      <c r="AD20" s="720">
        <f>Y20-AB20-AC20</f>
        <v>0</v>
      </c>
      <c r="AE20" s="720">
        <f>AE21</f>
        <v>0</v>
      </c>
      <c r="AF20" s="720">
        <f>AE24</f>
        <v>0</v>
      </c>
      <c r="AG20" s="720">
        <f>Z20-AE20-AF20</f>
        <v>0</v>
      </c>
      <c r="AH20" s="722">
        <f>AG20*AD20</f>
        <v>0</v>
      </c>
      <c r="AI20" s="736"/>
      <c r="AJ20" s="719">
        <f>AJ16</f>
        <v>0</v>
      </c>
      <c r="AK20" s="739">
        <f>ROUND(AI21*(1+AJ20),0)</f>
        <v>0</v>
      </c>
      <c r="AL20" s="722">
        <f>AG20*AD20*AK20</f>
        <v>0</v>
      </c>
      <c r="AM20" s="852">
        <f t="shared" si="0"/>
        <v>0</v>
      </c>
      <c r="AN20" s="715"/>
      <c r="AO20" s="716">
        <v>0</v>
      </c>
      <c r="AP20" s="716">
        <v>0</v>
      </c>
      <c r="AQ20" s="716">
        <v>0</v>
      </c>
      <c r="AR20" s="720">
        <f t="shared" si="2"/>
        <v>0</v>
      </c>
      <c r="AS20" s="720">
        <f t="shared" si="3"/>
        <v>0</v>
      </c>
      <c r="AT20" s="739">
        <f t="shared" si="4"/>
        <v>0</v>
      </c>
      <c r="AU20" s="718">
        <f>AL20*AP20*AQ20</f>
        <v>0</v>
      </c>
    </row>
    <row r="21" spans="1:47" s="545" customFormat="1" ht="14" customHeight="1" x14ac:dyDescent="0.15">
      <c r="A21" s="574"/>
      <c r="B21" s="575" t="s">
        <v>16</v>
      </c>
      <c r="C21" s="563"/>
      <c r="D21" s="563"/>
      <c r="E21" s="563"/>
      <c r="F21" s="563"/>
      <c r="G21" s="563"/>
      <c r="H21" s="768">
        <v>0</v>
      </c>
      <c r="I21" s="768">
        <v>0</v>
      </c>
      <c r="J21" s="768">
        <v>0</v>
      </c>
      <c r="K21" s="768">
        <v>0</v>
      </c>
      <c r="L21" s="777">
        <v>0</v>
      </c>
      <c r="M21" s="777">
        <v>0</v>
      </c>
      <c r="N21" s="778">
        <f>SUM(G21:M21)</f>
        <v>0</v>
      </c>
      <c r="O21" s="779">
        <v>0</v>
      </c>
      <c r="P21" s="780">
        <f t="shared" si="1"/>
        <v>0</v>
      </c>
      <c r="Q21" s="805">
        <f>P21</f>
        <v>0</v>
      </c>
      <c r="R21" s="158" t="e">
        <f>Q21/Q37</f>
        <v>#DIV/0!</v>
      </c>
      <c r="T21" s="574"/>
      <c r="U21" s="575" t="s">
        <v>16</v>
      </c>
      <c r="X21" s="547">
        <v>0</v>
      </c>
      <c r="Y21" s="721">
        <v>0</v>
      </c>
      <c r="Z21" s="721">
        <v>0</v>
      </c>
      <c r="AA21" s="722">
        <f>Z21*Y21</f>
        <v>0</v>
      </c>
      <c r="AB21" s="721">
        <v>0</v>
      </c>
      <c r="AC21" s="721">
        <v>0</v>
      </c>
      <c r="AD21" s="720">
        <f>Y21-AB21-AC21</f>
        <v>0</v>
      </c>
      <c r="AE21" s="721">
        <v>0</v>
      </c>
      <c r="AF21" s="720">
        <f>AE21</f>
        <v>0</v>
      </c>
      <c r="AG21" s="720">
        <f>Z21-AE21-AF21</f>
        <v>0</v>
      </c>
      <c r="AH21" s="722">
        <f>AG21*AD21</f>
        <v>0</v>
      </c>
      <c r="AI21" s="737">
        <v>0</v>
      </c>
      <c r="AJ21" s="719">
        <v>0</v>
      </c>
      <c r="AK21" s="739">
        <f>ROUND(AI21*(1+AJ21),0)</f>
        <v>0</v>
      </c>
      <c r="AL21" s="722">
        <f>AG21*AD21*AK21</f>
        <v>0</v>
      </c>
      <c r="AM21" s="852">
        <f t="shared" si="0"/>
        <v>0</v>
      </c>
      <c r="AN21" s="715"/>
      <c r="AO21" s="716">
        <v>0</v>
      </c>
      <c r="AP21" s="716">
        <v>0</v>
      </c>
      <c r="AQ21" s="716">
        <v>0</v>
      </c>
      <c r="AR21" s="720">
        <f t="shared" si="2"/>
        <v>0</v>
      </c>
      <c r="AS21" s="720">
        <f t="shared" si="3"/>
        <v>0</v>
      </c>
      <c r="AT21" s="739">
        <f t="shared" si="4"/>
        <v>0</v>
      </c>
      <c r="AU21" s="718">
        <f>AL21*AP21*AQ21</f>
        <v>0</v>
      </c>
    </row>
    <row r="22" spans="1:47" s="549" customFormat="1" ht="14" customHeight="1" x14ac:dyDescent="0.15">
      <c r="A22" s="576"/>
      <c r="B22" s="577" t="s">
        <v>40</v>
      </c>
      <c r="C22" s="563"/>
      <c r="D22" s="563"/>
      <c r="E22" s="563"/>
      <c r="F22" s="563">
        <f>SUM(F19:F21)</f>
        <v>0</v>
      </c>
      <c r="G22" s="563"/>
      <c r="H22" s="784">
        <f t="shared" ref="H22:Q22" si="7">SUM(H19:H21)</f>
        <v>0</v>
      </c>
      <c r="I22" s="784">
        <f t="shared" si="7"/>
        <v>0</v>
      </c>
      <c r="J22" s="784">
        <f t="shared" si="7"/>
        <v>0</v>
      </c>
      <c r="K22" s="784">
        <f t="shared" si="7"/>
        <v>0</v>
      </c>
      <c r="L22" s="784">
        <f t="shared" si="7"/>
        <v>0</v>
      </c>
      <c r="M22" s="785">
        <f t="shared" si="7"/>
        <v>0</v>
      </c>
      <c r="N22" s="786">
        <f t="shared" si="7"/>
        <v>0</v>
      </c>
      <c r="O22" s="786">
        <f t="shared" si="7"/>
        <v>0</v>
      </c>
      <c r="P22" s="887">
        <f t="shared" si="7"/>
        <v>0</v>
      </c>
      <c r="Q22" s="807">
        <f t="shared" si="7"/>
        <v>0</v>
      </c>
      <c r="R22" s="263" t="e">
        <f>Q22/Q37</f>
        <v>#DIV/0!</v>
      </c>
      <c r="T22" s="576"/>
      <c r="U22" s="577" t="s">
        <v>532</v>
      </c>
      <c r="X22" s="891">
        <f>C46*2</f>
        <v>0</v>
      </c>
      <c r="Y22" s="720">
        <f t="shared" ref="Y22:AH22" si="8">Y21</f>
        <v>0</v>
      </c>
      <c r="Z22" s="720">
        <f t="shared" si="8"/>
        <v>0</v>
      </c>
      <c r="AA22" s="722">
        <f t="shared" si="8"/>
        <v>0</v>
      </c>
      <c r="AB22" s="720">
        <f t="shared" si="8"/>
        <v>0</v>
      </c>
      <c r="AC22" s="720">
        <f t="shared" si="8"/>
        <v>0</v>
      </c>
      <c r="AD22" s="720">
        <f t="shared" si="8"/>
        <v>0</v>
      </c>
      <c r="AE22" s="720">
        <f t="shared" si="8"/>
        <v>0</v>
      </c>
      <c r="AF22" s="720">
        <f t="shared" si="8"/>
        <v>0</v>
      </c>
      <c r="AG22" s="720">
        <f t="shared" si="8"/>
        <v>0</v>
      </c>
      <c r="AH22" s="722">
        <f t="shared" si="8"/>
        <v>0</v>
      </c>
      <c r="AI22" s="739"/>
      <c r="AJ22" s="719"/>
      <c r="AK22" s="739">
        <f>AK21</f>
        <v>0</v>
      </c>
      <c r="AL22" s="722">
        <f>AL21</f>
        <v>0</v>
      </c>
      <c r="AM22" s="853">
        <f t="shared" si="0"/>
        <v>0</v>
      </c>
      <c r="AN22" s="715"/>
      <c r="AO22" s="719">
        <f>AO21</f>
        <v>0</v>
      </c>
      <c r="AP22" s="719">
        <f>AP21</f>
        <v>0</v>
      </c>
      <c r="AQ22" s="719">
        <f>AQ21</f>
        <v>0</v>
      </c>
      <c r="AR22" s="720">
        <f t="shared" si="2"/>
        <v>0</v>
      </c>
      <c r="AS22" s="720">
        <f t="shared" si="3"/>
        <v>0</v>
      </c>
      <c r="AT22" s="739">
        <f t="shared" si="4"/>
        <v>0</v>
      </c>
      <c r="AU22" s="718">
        <f>AU21</f>
        <v>0</v>
      </c>
    </row>
    <row r="23" spans="1:47" s="545" customFormat="1" ht="14" customHeight="1" x14ac:dyDescent="0.15">
      <c r="A23" s="578"/>
      <c r="B23" s="579" t="s">
        <v>17</v>
      </c>
      <c r="C23" s="563"/>
      <c r="D23" s="563"/>
      <c r="E23" s="563"/>
      <c r="F23" s="563"/>
      <c r="G23" s="563"/>
      <c r="H23" s="768">
        <v>0</v>
      </c>
      <c r="I23" s="768">
        <v>0</v>
      </c>
      <c r="J23" s="768">
        <v>0</v>
      </c>
      <c r="K23" s="768">
        <v>0</v>
      </c>
      <c r="L23" s="777">
        <v>0</v>
      </c>
      <c r="M23" s="777">
        <v>0</v>
      </c>
      <c r="N23" s="778">
        <f>SUM(G23:M23)</f>
        <v>0</v>
      </c>
      <c r="O23" s="779">
        <v>0</v>
      </c>
      <c r="P23" s="780">
        <f t="shared" si="1"/>
        <v>0</v>
      </c>
      <c r="Q23" s="805">
        <f>P23</f>
        <v>0</v>
      </c>
      <c r="R23" s="158" t="e">
        <f>Q23/Q37</f>
        <v>#DIV/0!</v>
      </c>
      <c r="T23" s="578"/>
      <c r="U23" s="579" t="s">
        <v>17</v>
      </c>
      <c r="X23" s="723">
        <v>0</v>
      </c>
      <c r="Y23" s="724">
        <f>Y24</f>
        <v>0</v>
      </c>
      <c r="Z23" s="724">
        <f>Y24</f>
        <v>0</v>
      </c>
      <c r="AA23" s="725">
        <f>Z23*Y23</f>
        <v>0</v>
      </c>
      <c r="AB23" s="724">
        <f>AB24</f>
        <v>0</v>
      </c>
      <c r="AC23" s="724">
        <f>AC24</f>
        <v>0</v>
      </c>
      <c r="AD23" s="724">
        <f>Y23-AB23-AC23</f>
        <v>0</v>
      </c>
      <c r="AE23" s="724">
        <f>AE24</f>
        <v>0</v>
      </c>
      <c r="AF23" s="724">
        <f>AE24</f>
        <v>0</v>
      </c>
      <c r="AG23" s="724">
        <f>Z23-AE23-AF23</f>
        <v>0</v>
      </c>
      <c r="AH23" s="725">
        <f>AG23*AD23</f>
        <v>0</v>
      </c>
      <c r="AI23" s="738"/>
      <c r="AJ23" s="726">
        <f>AJ16</f>
        <v>0</v>
      </c>
      <c r="AK23" s="740">
        <f>ROUND(AI24*(1+AJ23),0)</f>
        <v>0</v>
      </c>
      <c r="AL23" s="725">
        <f>AG23*AD23*AK23</f>
        <v>0</v>
      </c>
      <c r="AM23" s="852">
        <f t="shared" si="0"/>
        <v>0</v>
      </c>
      <c r="AN23" s="727"/>
      <c r="AO23" s="728">
        <v>0</v>
      </c>
      <c r="AP23" s="728">
        <v>0</v>
      </c>
      <c r="AQ23" s="728">
        <v>0</v>
      </c>
      <c r="AR23" s="724">
        <f t="shared" si="2"/>
        <v>0</v>
      </c>
      <c r="AS23" s="724">
        <f t="shared" si="3"/>
        <v>0</v>
      </c>
      <c r="AT23" s="740">
        <f t="shared" si="4"/>
        <v>0</v>
      </c>
      <c r="AU23" s="729">
        <f>AL23*AP23*AQ23</f>
        <v>0</v>
      </c>
    </row>
    <row r="24" spans="1:47" s="545" customFormat="1" ht="14" customHeight="1" x14ac:dyDescent="0.15">
      <c r="A24" s="580"/>
      <c r="B24" s="581" t="s">
        <v>18</v>
      </c>
      <c r="C24" s="563"/>
      <c r="D24" s="563"/>
      <c r="E24" s="563"/>
      <c r="F24" s="563"/>
      <c r="G24" s="563"/>
      <c r="H24" s="768">
        <v>0</v>
      </c>
      <c r="I24" s="768">
        <v>0</v>
      </c>
      <c r="J24" s="768">
        <v>0</v>
      </c>
      <c r="K24" s="768">
        <v>0</v>
      </c>
      <c r="L24" s="777">
        <v>0</v>
      </c>
      <c r="M24" s="777">
        <v>0</v>
      </c>
      <c r="N24" s="778">
        <f>SUM(G24:M24)</f>
        <v>0</v>
      </c>
      <c r="O24" s="779">
        <v>0</v>
      </c>
      <c r="P24" s="780">
        <f t="shared" si="1"/>
        <v>0</v>
      </c>
      <c r="Q24" s="805">
        <f>P24</f>
        <v>0</v>
      </c>
      <c r="R24" s="158" t="e">
        <f>Q24/Q37</f>
        <v>#DIV/0!</v>
      </c>
      <c r="T24" s="580"/>
      <c r="U24" s="581" t="s">
        <v>18</v>
      </c>
      <c r="X24" s="547">
        <v>0</v>
      </c>
      <c r="Y24" s="721">
        <v>0</v>
      </c>
      <c r="Z24" s="721">
        <v>0</v>
      </c>
      <c r="AA24" s="722">
        <f>Z24*Y24</f>
        <v>0</v>
      </c>
      <c r="AB24" s="721">
        <v>0</v>
      </c>
      <c r="AC24" s="721">
        <v>0</v>
      </c>
      <c r="AD24" s="720">
        <f>Y24-AB24-AC24</f>
        <v>0</v>
      </c>
      <c r="AE24" s="721">
        <v>0</v>
      </c>
      <c r="AF24" s="720">
        <f>AE24</f>
        <v>0</v>
      </c>
      <c r="AG24" s="720">
        <f>Z24-AE24-AF24</f>
        <v>0</v>
      </c>
      <c r="AH24" s="722">
        <f>AG24*AD24</f>
        <v>0</v>
      </c>
      <c r="AI24" s="737">
        <v>0</v>
      </c>
      <c r="AJ24" s="719">
        <v>0</v>
      </c>
      <c r="AK24" s="739">
        <f>ROUND(AI24*(1+AJ24),0)</f>
        <v>0</v>
      </c>
      <c r="AL24" s="722">
        <f>AG24*AD24*AK24</f>
        <v>0</v>
      </c>
      <c r="AM24" s="852">
        <f t="shared" si="0"/>
        <v>0</v>
      </c>
      <c r="AN24" s="715"/>
      <c r="AO24" s="716">
        <v>0</v>
      </c>
      <c r="AP24" s="716">
        <v>0</v>
      </c>
      <c r="AQ24" s="716">
        <v>0</v>
      </c>
      <c r="AR24" s="720">
        <f t="shared" si="2"/>
        <v>0</v>
      </c>
      <c r="AS24" s="720">
        <f t="shared" si="3"/>
        <v>0</v>
      </c>
      <c r="AT24" s="739">
        <f t="shared" si="4"/>
        <v>0</v>
      </c>
      <c r="AU24" s="718">
        <f>AL24*AP24*AQ24</f>
        <v>0</v>
      </c>
    </row>
    <row r="25" spans="1:47" s="549" customFormat="1" ht="14" customHeight="1" x14ac:dyDescent="0.15">
      <c r="A25" s="582"/>
      <c r="B25" s="583" t="s">
        <v>41</v>
      </c>
      <c r="C25" s="563"/>
      <c r="D25" s="563"/>
      <c r="E25" s="563"/>
      <c r="F25" s="563">
        <f>SUM(F23:F24)</f>
        <v>0</v>
      </c>
      <c r="G25" s="563"/>
      <c r="H25" s="787">
        <f t="shared" ref="H25:Q25" si="9">SUM(H23:H24)</f>
        <v>0</v>
      </c>
      <c r="I25" s="787">
        <f t="shared" si="9"/>
        <v>0</v>
      </c>
      <c r="J25" s="787">
        <f t="shared" si="9"/>
        <v>0</v>
      </c>
      <c r="K25" s="787">
        <f t="shared" si="9"/>
        <v>0</v>
      </c>
      <c r="L25" s="787">
        <f t="shared" si="9"/>
        <v>0</v>
      </c>
      <c r="M25" s="788">
        <f t="shared" si="9"/>
        <v>0</v>
      </c>
      <c r="N25" s="789">
        <f t="shared" si="9"/>
        <v>0</v>
      </c>
      <c r="O25" s="789">
        <f t="shared" si="9"/>
        <v>0</v>
      </c>
      <c r="P25" s="888">
        <f t="shared" si="9"/>
        <v>0</v>
      </c>
      <c r="Q25" s="808">
        <f t="shared" si="9"/>
        <v>0</v>
      </c>
      <c r="R25" s="263" t="e">
        <f>Q25/Q37</f>
        <v>#DIV/0!</v>
      </c>
      <c r="T25" s="582"/>
      <c r="U25" s="583" t="s">
        <v>432</v>
      </c>
      <c r="V25" s="549" t="s">
        <v>525</v>
      </c>
      <c r="W25" s="549" t="s">
        <v>526</v>
      </c>
      <c r="X25" s="891">
        <f>SUM(C47:C48)*2</f>
        <v>0</v>
      </c>
      <c r="Y25" s="720">
        <f t="shared" ref="Y25:AH25" si="10">Y24</f>
        <v>0</v>
      </c>
      <c r="Z25" s="720">
        <f t="shared" si="10"/>
        <v>0</v>
      </c>
      <c r="AA25" s="722">
        <f t="shared" si="10"/>
        <v>0</v>
      </c>
      <c r="AB25" s="720">
        <f t="shared" si="10"/>
        <v>0</v>
      </c>
      <c r="AC25" s="720">
        <f t="shared" si="10"/>
        <v>0</v>
      </c>
      <c r="AD25" s="720">
        <f t="shared" si="10"/>
        <v>0</v>
      </c>
      <c r="AE25" s="720">
        <f t="shared" si="10"/>
        <v>0</v>
      </c>
      <c r="AF25" s="720">
        <f t="shared" si="10"/>
        <v>0</v>
      </c>
      <c r="AG25" s="720">
        <f t="shared" si="10"/>
        <v>0</v>
      </c>
      <c r="AH25" s="722">
        <f t="shared" si="10"/>
        <v>0</v>
      </c>
      <c r="AI25" s="739"/>
      <c r="AJ25" s="719"/>
      <c r="AK25" s="739">
        <f>AK24</f>
        <v>0</v>
      </c>
      <c r="AL25" s="722">
        <f>AL24</f>
        <v>0</v>
      </c>
      <c r="AM25" s="853">
        <f t="shared" si="0"/>
        <v>0</v>
      </c>
      <c r="AN25" s="715"/>
      <c r="AO25" s="719">
        <f>AO24</f>
        <v>0</v>
      </c>
      <c r="AP25" s="719">
        <f>AP24</f>
        <v>0</v>
      </c>
      <c r="AQ25" s="719">
        <f>AQ24</f>
        <v>0</v>
      </c>
      <c r="AR25" s="720">
        <f t="shared" si="2"/>
        <v>0</v>
      </c>
      <c r="AS25" s="720">
        <f t="shared" si="3"/>
        <v>0</v>
      </c>
      <c r="AT25" s="739">
        <f t="shared" si="4"/>
        <v>0</v>
      </c>
      <c r="AU25" s="718">
        <f>AU24</f>
        <v>0</v>
      </c>
    </row>
    <row r="26" spans="1:47" s="545" customFormat="1" ht="14" customHeight="1" x14ac:dyDescent="0.15">
      <c r="A26" s="584" t="s">
        <v>235</v>
      </c>
      <c r="B26" s="569" t="s">
        <v>63</v>
      </c>
      <c r="C26" s="563"/>
      <c r="D26" s="563"/>
      <c r="E26" s="563"/>
      <c r="F26" s="563"/>
      <c r="G26" s="563"/>
      <c r="H26" s="768">
        <v>0</v>
      </c>
      <c r="I26" s="768">
        <v>0</v>
      </c>
      <c r="J26" s="768">
        <v>0</v>
      </c>
      <c r="K26" s="768">
        <v>0</v>
      </c>
      <c r="L26" s="777">
        <v>0</v>
      </c>
      <c r="M26" s="777">
        <v>0</v>
      </c>
      <c r="N26" s="884">
        <f>SUM(G26:M26)</f>
        <v>0</v>
      </c>
      <c r="O26" s="779">
        <v>0</v>
      </c>
      <c r="P26" s="780">
        <f t="shared" si="1"/>
        <v>0</v>
      </c>
      <c r="Q26" s="805">
        <f>P26</f>
        <v>0</v>
      </c>
      <c r="R26" s="158" t="e">
        <f>Q26/Q37</f>
        <v>#DIV/0!</v>
      </c>
      <c r="T26" s="584" t="s">
        <v>235</v>
      </c>
      <c r="U26" s="569" t="s">
        <v>63</v>
      </c>
      <c r="V26" s="882">
        <v>0</v>
      </c>
      <c r="W26" s="731">
        <v>0</v>
      </c>
      <c r="X26" s="730">
        <v>0</v>
      </c>
      <c r="Y26" s="733">
        <f>(V26-W26)/2</f>
        <v>0</v>
      </c>
      <c r="Z26" s="731">
        <v>0</v>
      </c>
      <c r="AA26" s="732">
        <f>Z26*Y26</f>
        <v>0</v>
      </c>
      <c r="AB26" s="731">
        <v>0</v>
      </c>
      <c r="AC26" s="731">
        <v>0</v>
      </c>
      <c r="AD26" s="733">
        <f>Y26-AB26-AC26</f>
        <v>0</v>
      </c>
      <c r="AE26" s="731">
        <v>0</v>
      </c>
      <c r="AF26" s="733">
        <f>AE26</f>
        <v>0</v>
      </c>
      <c r="AG26" s="733">
        <f>Z26-2*AE26</f>
        <v>0</v>
      </c>
      <c r="AH26" s="732">
        <f>AG26*AD26</f>
        <v>0</v>
      </c>
      <c r="AI26" s="744">
        <v>0</v>
      </c>
      <c r="AJ26" s="741">
        <v>0</v>
      </c>
      <c r="AK26" s="742">
        <f>ROUND(AI26*(1+AJ26),0)</f>
        <v>0</v>
      </c>
      <c r="AL26" s="732">
        <f>AG26*AD26*AK26</f>
        <v>0</v>
      </c>
      <c r="AM26" s="883">
        <f>IF(AA26=0,0,AL26/AA26)</f>
        <v>0</v>
      </c>
      <c r="AN26" s="734"/>
      <c r="AO26" s="735">
        <v>0</v>
      </c>
      <c r="AP26" s="735">
        <v>0</v>
      </c>
      <c r="AQ26" s="735">
        <v>0</v>
      </c>
      <c r="AR26" s="733">
        <f t="shared" si="2"/>
        <v>0</v>
      </c>
      <c r="AS26" s="733">
        <f t="shared" si="3"/>
        <v>0</v>
      </c>
      <c r="AT26" s="742">
        <f t="shared" si="4"/>
        <v>0</v>
      </c>
      <c r="AU26" s="743">
        <f>AL26*AP26*AQ26</f>
        <v>0</v>
      </c>
    </row>
    <row r="27" spans="1:47" s="545" customFormat="1" ht="14" customHeight="1" x14ac:dyDescent="0.15">
      <c r="A27" s="584" t="s">
        <v>235</v>
      </c>
      <c r="B27" s="575" t="s">
        <v>64</v>
      </c>
      <c r="C27" s="563"/>
      <c r="D27" s="563"/>
      <c r="E27" s="563"/>
      <c r="F27" s="563"/>
      <c r="G27" s="563"/>
      <c r="H27" s="768">
        <v>0</v>
      </c>
      <c r="I27" s="768">
        <v>0</v>
      </c>
      <c r="J27" s="768">
        <v>0</v>
      </c>
      <c r="K27" s="768">
        <v>0</v>
      </c>
      <c r="L27" s="777">
        <v>0</v>
      </c>
      <c r="M27" s="777">
        <v>0</v>
      </c>
      <c r="N27" s="778">
        <f>SUM(G27:M27)</f>
        <v>0</v>
      </c>
      <c r="O27" s="779">
        <v>0</v>
      </c>
      <c r="P27" s="780">
        <f t="shared" si="1"/>
        <v>0</v>
      </c>
      <c r="Q27" s="805">
        <f>P27</f>
        <v>0</v>
      </c>
      <c r="R27" s="158" t="e">
        <f>Q27/Q37</f>
        <v>#DIV/0!</v>
      </c>
      <c r="T27" s="584" t="s">
        <v>235</v>
      </c>
      <c r="U27" s="575" t="s">
        <v>64</v>
      </c>
      <c r="V27" s="873">
        <f>V28</f>
        <v>0</v>
      </c>
      <c r="W27" s="873">
        <f>W28</f>
        <v>0</v>
      </c>
      <c r="X27" s="874">
        <v>0</v>
      </c>
      <c r="Y27" s="875">
        <f>(V27-W27)/2</f>
        <v>0</v>
      </c>
      <c r="Z27" s="873">
        <v>0</v>
      </c>
      <c r="AA27" s="876">
        <f>Z27*Y27</f>
        <v>0</v>
      </c>
      <c r="AB27" s="873">
        <v>0</v>
      </c>
      <c r="AC27" s="873">
        <v>0</v>
      </c>
      <c r="AD27" s="875">
        <f>Y27-AB27-AC27</f>
        <v>0</v>
      </c>
      <c r="AE27" s="873">
        <v>0</v>
      </c>
      <c r="AF27" s="875">
        <f>AE27</f>
        <v>0</v>
      </c>
      <c r="AG27" s="875">
        <f>Z27-2*AE27</f>
        <v>0</v>
      </c>
      <c r="AH27" s="876">
        <f>AG27*AD27</f>
        <v>0</v>
      </c>
      <c r="AI27" s="877">
        <f>AI28</f>
        <v>0</v>
      </c>
      <c r="AJ27" s="878">
        <v>0</v>
      </c>
      <c r="AK27" s="879">
        <f>ROUND(AI27*(1+AJ27),0)</f>
        <v>0</v>
      </c>
      <c r="AL27" s="876">
        <f>AG27*AD27*AK27</f>
        <v>0</v>
      </c>
      <c r="AM27" s="851">
        <f t="shared" si="0"/>
        <v>0</v>
      </c>
      <c r="AN27" s="715"/>
      <c r="AO27" s="880">
        <f>AO28</f>
        <v>0</v>
      </c>
      <c r="AP27" s="880">
        <f>AP28</f>
        <v>0</v>
      </c>
      <c r="AQ27" s="880">
        <f>AQ28</f>
        <v>0</v>
      </c>
      <c r="AR27" s="875">
        <f t="shared" si="2"/>
        <v>0</v>
      </c>
      <c r="AS27" s="875">
        <f t="shared" si="3"/>
        <v>0</v>
      </c>
      <c r="AT27" s="879">
        <f t="shared" si="4"/>
        <v>0</v>
      </c>
      <c r="AU27" s="881">
        <f>AL27*AP27*AQ27</f>
        <v>0</v>
      </c>
    </row>
    <row r="28" spans="1:47" s="545" customFormat="1" ht="14" customHeight="1" x14ac:dyDescent="0.15">
      <c r="A28" s="585" t="s">
        <v>236</v>
      </c>
      <c r="B28" s="586" t="s">
        <v>69</v>
      </c>
      <c r="C28" s="563"/>
      <c r="D28" s="563"/>
      <c r="E28" s="563"/>
      <c r="F28" s="563"/>
      <c r="G28" s="563"/>
      <c r="H28" s="768">
        <v>0</v>
      </c>
      <c r="I28" s="768">
        <v>0</v>
      </c>
      <c r="J28" s="768">
        <v>0</v>
      </c>
      <c r="K28" s="768">
        <v>0</v>
      </c>
      <c r="L28" s="790">
        <v>0</v>
      </c>
      <c r="M28" s="790">
        <v>0</v>
      </c>
      <c r="N28" s="791">
        <f>SUM(G28:M28)</f>
        <v>0</v>
      </c>
      <c r="O28" s="792">
        <v>0</v>
      </c>
      <c r="P28" s="793">
        <f t="shared" si="1"/>
        <v>0</v>
      </c>
      <c r="Q28" s="809">
        <f>P28</f>
        <v>0</v>
      </c>
      <c r="R28" s="262" t="e">
        <f>Q28/Q37</f>
        <v>#DIV/0!</v>
      </c>
      <c r="T28" s="585" t="s">
        <v>236</v>
      </c>
      <c r="U28" s="586" t="s">
        <v>69</v>
      </c>
      <c r="V28" s="721">
        <v>0</v>
      </c>
      <c r="W28" s="721">
        <v>0</v>
      </c>
      <c r="X28" s="547">
        <v>0</v>
      </c>
      <c r="Y28" s="720">
        <f>(V28-W28)/2</f>
        <v>0</v>
      </c>
      <c r="Z28" s="721">
        <v>0</v>
      </c>
      <c r="AA28" s="722">
        <f>Z28*Y28</f>
        <v>0</v>
      </c>
      <c r="AB28" s="721">
        <v>0</v>
      </c>
      <c r="AC28" s="721">
        <v>0</v>
      </c>
      <c r="AD28" s="720">
        <f>Y28-AB28-AC28</f>
        <v>0</v>
      </c>
      <c r="AE28" s="721">
        <v>0</v>
      </c>
      <c r="AF28" s="720">
        <f>AE28</f>
        <v>0</v>
      </c>
      <c r="AG28" s="720">
        <f>Z28-2*AE28</f>
        <v>0</v>
      </c>
      <c r="AH28" s="722">
        <f>AG28*AD28</f>
        <v>0</v>
      </c>
      <c r="AI28" s="737">
        <v>0</v>
      </c>
      <c r="AJ28" s="719">
        <v>0</v>
      </c>
      <c r="AK28" s="739">
        <f>ROUND(AI28*(1+AJ28),0)</f>
        <v>0</v>
      </c>
      <c r="AL28" s="722">
        <f>AG28*AD28*AK28</f>
        <v>0</v>
      </c>
      <c r="AM28" s="852">
        <f t="shared" si="0"/>
        <v>0</v>
      </c>
      <c r="AN28" s="715"/>
      <c r="AO28" s="716">
        <v>0</v>
      </c>
      <c r="AP28" s="716">
        <v>0</v>
      </c>
      <c r="AQ28" s="716">
        <v>0</v>
      </c>
      <c r="AR28" s="720">
        <f t="shared" si="2"/>
        <v>0</v>
      </c>
      <c r="AS28" s="720">
        <f t="shared" si="3"/>
        <v>0</v>
      </c>
      <c r="AT28" s="739">
        <f t="shared" si="4"/>
        <v>0</v>
      </c>
      <c r="AU28" s="718">
        <f>AL28*AP28*AQ28</f>
        <v>0</v>
      </c>
    </row>
    <row r="29" spans="1:47" s="545" customFormat="1" ht="14" customHeight="1" x14ac:dyDescent="0.15">
      <c r="A29" s="584" t="s">
        <v>234</v>
      </c>
      <c r="B29" s="581" t="s">
        <v>69</v>
      </c>
      <c r="C29" s="563"/>
      <c r="D29" s="563"/>
      <c r="E29" s="563"/>
      <c r="F29" s="563"/>
      <c r="G29" s="563"/>
      <c r="H29" s="794">
        <v>0</v>
      </c>
      <c r="I29" s="794">
        <v>0</v>
      </c>
      <c r="J29" s="794">
        <v>0</v>
      </c>
      <c r="K29" s="794">
        <v>0</v>
      </c>
      <c r="L29" s="777">
        <v>0</v>
      </c>
      <c r="M29" s="777">
        <v>0</v>
      </c>
      <c r="N29" s="884">
        <f>SUM(G29:M29)</f>
        <v>0</v>
      </c>
      <c r="O29" s="779">
        <v>0</v>
      </c>
      <c r="P29" s="780">
        <f t="shared" si="1"/>
        <v>0</v>
      </c>
      <c r="Q29" s="805">
        <f>P29</f>
        <v>0</v>
      </c>
      <c r="R29" s="158" t="e">
        <f>Q29/Q37</f>
        <v>#DIV/0!</v>
      </c>
      <c r="T29" s="584" t="s">
        <v>234</v>
      </c>
      <c r="U29" s="581" t="s">
        <v>69</v>
      </c>
      <c r="V29" s="720">
        <f t="shared" ref="V29:W29" si="11">V28</f>
        <v>0</v>
      </c>
      <c r="W29" s="720">
        <f t="shared" si="11"/>
        <v>0</v>
      </c>
      <c r="X29" s="547">
        <v>0</v>
      </c>
      <c r="Y29" s="720">
        <f t="shared" ref="Y29:AH29" si="12">Y28</f>
        <v>0</v>
      </c>
      <c r="Z29" s="720">
        <f t="shared" si="12"/>
        <v>0</v>
      </c>
      <c r="AA29" s="722">
        <f t="shared" si="12"/>
        <v>0</v>
      </c>
      <c r="AB29" s="720">
        <f t="shared" si="12"/>
        <v>0</v>
      </c>
      <c r="AC29" s="720">
        <f t="shared" si="12"/>
        <v>0</v>
      </c>
      <c r="AD29" s="720">
        <f t="shared" si="12"/>
        <v>0</v>
      </c>
      <c r="AE29" s="720">
        <f t="shared" si="12"/>
        <v>0</v>
      </c>
      <c r="AF29" s="720">
        <f t="shared" si="12"/>
        <v>0</v>
      </c>
      <c r="AG29" s="720">
        <f t="shared" si="12"/>
        <v>0</v>
      </c>
      <c r="AH29" s="722">
        <f t="shared" si="12"/>
        <v>0</v>
      </c>
      <c r="AI29" s="739"/>
      <c r="AJ29" s="719"/>
      <c r="AK29" s="739">
        <f>AK28</f>
        <v>0</v>
      </c>
      <c r="AL29" s="722">
        <f>AL28</f>
        <v>0</v>
      </c>
      <c r="AM29" s="852">
        <f t="shared" si="0"/>
        <v>0</v>
      </c>
      <c r="AN29" s="715"/>
      <c r="AO29" s="719">
        <f>AO28</f>
        <v>0</v>
      </c>
      <c r="AP29" s="719">
        <f>AP28</f>
        <v>0</v>
      </c>
      <c r="AQ29" s="719">
        <f>AQ28</f>
        <v>0</v>
      </c>
      <c r="AR29" s="720">
        <f t="shared" si="2"/>
        <v>0</v>
      </c>
      <c r="AS29" s="720">
        <f t="shared" si="3"/>
        <v>0</v>
      </c>
      <c r="AT29" s="739">
        <f t="shared" si="4"/>
        <v>0</v>
      </c>
      <c r="AU29" s="718">
        <f>AU28</f>
        <v>0</v>
      </c>
    </row>
    <row r="30" spans="1:47" s="545" customFormat="1" ht="14" customHeight="1" x14ac:dyDescent="0.15">
      <c r="A30" s="587" t="s">
        <v>231</v>
      </c>
      <c r="B30" s="588" t="s">
        <v>233</v>
      </c>
      <c r="C30" s="563"/>
      <c r="D30" s="563"/>
      <c r="E30" s="563"/>
      <c r="F30" s="563"/>
      <c r="G30" s="563"/>
      <c r="H30" s="768">
        <v>0</v>
      </c>
      <c r="I30" s="768">
        <v>0</v>
      </c>
      <c r="J30" s="768">
        <v>0</v>
      </c>
      <c r="K30" s="768">
        <v>0</v>
      </c>
      <c r="L30" s="777">
        <v>0</v>
      </c>
      <c r="M30" s="777">
        <v>0</v>
      </c>
      <c r="N30" s="778">
        <f>SUM(G30:M30)</f>
        <v>0</v>
      </c>
      <c r="O30" s="779">
        <v>0</v>
      </c>
      <c r="P30" s="780">
        <f t="shared" si="1"/>
        <v>0</v>
      </c>
      <c r="Q30" s="805">
        <f>P30</f>
        <v>0</v>
      </c>
      <c r="R30" s="158" t="e">
        <f>Q30/Q37</f>
        <v>#DIV/0!</v>
      </c>
      <c r="T30" s="587" t="s">
        <v>231</v>
      </c>
      <c r="U30" s="588" t="s">
        <v>233</v>
      </c>
      <c r="V30" s="720">
        <f>V28</f>
        <v>0</v>
      </c>
      <c r="W30" s="721">
        <v>0</v>
      </c>
      <c r="X30" s="547">
        <v>0</v>
      </c>
      <c r="Y30" s="720">
        <f>(V30-W30)/2</f>
        <v>0</v>
      </c>
      <c r="Z30" s="721">
        <v>0</v>
      </c>
      <c r="AA30" s="722">
        <f>Z30*Y30</f>
        <v>0</v>
      </c>
      <c r="AB30" s="873">
        <f>AB28</f>
        <v>0</v>
      </c>
      <c r="AC30" s="873">
        <f>AC28</f>
        <v>0</v>
      </c>
      <c r="AD30" s="875">
        <f>Y30-AB30-AC30</f>
        <v>0</v>
      </c>
      <c r="AE30" s="873">
        <f>AE28</f>
        <v>0</v>
      </c>
      <c r="AF30" s="720">
        <f>AE30</f>
        <v>0</v>
      </c>
      <c r="AG30" s="720">
        <f>Z30-2*AE30</f>
        <v>0</v>
      </c>
      <c r="AH30" s="722">
        <f>AG30*AD30</f>
        <v>0</v>
      </c>
      <c r="AI30" s="736">
        <f>AI28</f>
        <v>0</v>
      </c>
      <c r="AJ30" s="719">
        <v>0</v>
      </c>
      <c r="AK30" s="739">
        <f>ROUND(AI30*(1+AJ30),0)</f>
        <v>0</v>
      </c>
      <c r="AL30" s="722">
        <f>AG30*AD30*AK30</f>
        <v>0</v>
      </c>
      <c r="AM30" s="852">
        <f t="shared" si="0"/>
        <v>0</v>
      </c>
      <c r="AN30" s="715"/>
      <c r="AO30" s="716">
        <v>0</v>
      </c>
      <c r="AP30" s="716">
        <v>0</v>
      </c>
      <c r="AQ30" s="716">
        <v>0</v>
      </c>
      <c r="AR30" s="720">
        <f t="shared" si="2"/>
        <v>0</v>
      </c>
      <c r="AS30" s="720">
        <f t="shared" si="3"/>
        <v>0</v>
      </c>
      <c r="AT30" s="739">
        <f t="shared" si="4"/>
        <v>0</v>
      </c>
      <c r="AU30" s="718">
        <f>AL30*AP30*AQ30</f>
        <v>0</v>
      </c>
    </row>
    <row r="31" spans="1:47" s="549" customFormat="1" ht="14" customHeight="1" x14ac:dyDescent="0.15">
      <c r="A31" s="589"/>
      <c r="B31" s="590" t="s">
        <v>59</v>
      </c>
      <c r="C31" s="563"/>
      <c r="D31" s="563"/>
      <c r="E31" s="563"/>
      <c r="F31" s="563"/>
      <c r="G31" s="563"/>
      <c r="H31" s="795">
        <f t="shared" ref="H31:M31" si="13">SUM(H26:H30)</f>
        <v>0</v>
      </c>
      <c r="I31" s="795">
        <f t="shared" si="13"/>
        <v>0</v>
      </c>
      <c r="J31" s="795">
        <f t="shared" si="13"/>
        <v>0</v>
      </c>
      <c r="K31" s="795">
        <f t="shared" si="13"/>
        <v>0</v>
      </c>
      <c r="L31" s="795">
        <f t="shared" si="13"/>
        <v>0</v>
      </c>
      <c r="M31" s="796">
        <f t="shared" si="13"/>
        <v>0</v>
      </c>
      <c r="N31" s="797">
        <f>SUM(N26:N30)</f>
        <v>0</v>
      </c>
      <c r="O31" s="797">
        <f>SUM(O26:O30)</f>
        <v>0</v>
      </c>
      <c r="P31" s="889">
        <f>SUM(P26:P30)</f>
        <v>0</v>
      </c>
      <c r="Q31" s="810">
        <f>SUM(Q26:Q30)</f>
        <v>0</v>
      </c>
      <c r="R31" s="263" t="e">
        <f>Q31/Q37</f>
        <v>#DIV/0!</v>
      </c>
      <c r="AA31" s="711"/>
      <c r="AB31" s="711"/>
      <c r="AC31" s="711"/>
      <c r="AD31" s="711"/>
      <c r="AE31" s="711"/>
      <c r="AF31" s="711"/>
      <c r="AG31" s="711"/>
      <c r="AH31" s="711"/>
      <c r="AJ31" s="711"/>
      <c r="AK31" s="711"/>
      <c r="AL31" s="711"/>
      <c r="AM31" s="711"/>
      <c r="AN31" s="711"/>
      <c r="AO31" s="711"/>
      <c r="AP31" s="711"/>
      <c r="AQ31" s="711"/>
      <c r="AR31" s="711"/>
      <c r="AS31" s="711"/>
      <c r="AT31" s="712"/>
    </row>
    <row r="32" spans="1:47" s="621" customFormat="1" ht="14" customHeight="1" thickBot="1" x14ac:dyDescent="0.2">
      <c r="A32" s="591"/>
      <c r="B32" s="592" t="s">
        <v>42</v>
      </c>
      <c r="C32" s="563">
        <v>0</v>
      </c>
      <c r="D32" s="563">
        <v>0</v>
      </c>
      <c r="E32" s="563">
        <v>0</v>
      </c>
      <c r="F32" s="563">
        <v>0</v>
      </c>
      <c r="G32" s="563">
        <v>0</v>
      </c>
      <c r="H32" s="798">
        <f t="shared" ref="H32:M32" si="14">H31+H25+H22+H18</f>
        <v>0</v>
      </c>
      <c r="I32" s="798">
        <f t="shared" si="14"/>
        <v>0</v>
      </c>
      <c r="J32" s="798">
        <f t="shared" si="14"/>
        <v>0</v>
      </c>
      <c r="K32" s="798">
        <f t="shared" si="14"/>
        <v>0</v>
      </c>
      <c r="L32" s="798">
        <f t="shared" si="14"/>
        <v>0</v>
      </c>
      <c r="M32" s="799">
        <f t="shared" si="14"/>
        <v>0</v>
      </c>
      <c r="N32" s="800">
        <f>N31+N25+N22+N18</f>
        <v>0</v>
      </c>
      <c r="O32" s="800">
        <f>O31+O25+O22+O18</f>
        <v>0</v>
      </c>
      <c r="P32" s="890">
        <f>P31+P25+P22+P18</f>
        <v>0</v>
      </c>
      <c r="Q32" s="811">
        <f>Q31+Q25+Q22+Q18</f>
        <v>0</v>
      </c>
      <c r="R32" s="265" t="e">
        <f>Q32/Q37</f>
        <v>#DIV/0!</v>
      </c>
      <c r="AA32" s="545"/>
      <c r="AB32" s="549"/>
      <c r="AD32" s="549"/>
      <c r="AE32" s="549"/>
      <c r="AF32" s="549"/>
      <c r="AG32" s="549"/>
      <c r="AH32" s="549"/>
      <c r="AL32" s="549"/>
      <c r="AT32" s="706"/>
    </row>
    <row r="33" spans="1:46" s="545" customFormat="1" ht="14" customHeight="1" x14ac:dyDescent="0.15">
      <c r="A33" s="593"/>
      <c r="B33" s="594" t="s">
        <v>20</v>
      </c>
      <c r="C33" s="773">
        <v>0</v>
      </c>
      <c r="D33" s="773">
        <v>0</v>
      </c>
      <c r="E33" s="773">
        <v>0</v>
      </c>
      <c r="F33" s="769">
        <f>SUM(C33:E33)</f>
        <v>0</v>
      </c>
      <c r="G33" s="774">
        <v>0</v>
      </c>
      <c r="H33" s="622"/>
      <c r="I33" s="622"/>
      <c r="J33" s="622"/>
      <c r="K33" s="622"/>
      <c r="L33" s="622"/>
      <c r="M33" s="622"/>
      <c r="N33" s="802">
        <f>G33</f>
        <v>0</v>
      </c>
      <c r="O33" s="623"/>
      <c r="P33" s="802">
        <f t="shared" ref="P33:P35" si="15">SUM(N33:O33)</f>
        <v>0</v>
      </c>
      <c r="Q33" s="619">
        <f>P33+F33</f>
        <v>0</v>
      </c>
      <c r="R33" s="158" t="e">
        <f>Q33/Q37</f>
        <v>#DIV/0!</v>
      </c>
      <c r="AB33" s="549"/>
      <c r="AD33" s="549"/>
      <c r="AE33" s="549"/>
      <c r="AF33" s="549"/>
      <c r="AG33" s="549"/>
      <c r="AH33" s="549"/>
      <c r="AL33" s="549"/>
      <c r="AT33" s="548"/>
    </row>
    <row r="34" spans="1:46" s="545" customFormat="1" ht="14" customHeight="1" x14ac:dyDescent="0.15">
      <c r="A34" s="595"/>
      <c r="B34" s="596" t="s">
        <v>21</v>
      </c>
      <c r="C34" s="773">
        <v>0</v>
      </c>
      <c r="D34" s="773">
        <v>0</v>
      </c>
      <c r="E34" s="773">
        <v>0</v>
      </c>
      <c r="F34" s="769">
        <f>SUM(C34:E34)</f>
        <v>0</v>
      </c>
      <c r="G34" s="774">
        <v>0</v>
      </c>
      <c r="H34" s="622"/>
      <c r="I34" s="622"/>
      <c r="J34" s="622"/>
      <c r="K34" s="622"/>
      <c r="L34" s="622"/>
      <c r="M34" s="622"/>
      <c r="N34" s="803">
        <f>G34</f>
        <v>0</v>
      </c>
      <c r="O34" s="623"/>
      <c r="P34" s="803">
        <f t="shared" si="15"/>
        <v>0</v>
      </c>
      <c r="Q34" s="619">
        <f>P34+F34</f>
        <v>0</v>
      </c>
      <c r="R34" s="158" t="e">
        <f>Q34/Q37</f>
        <v>#DIV/0!</v>
      </c>
      <c r="AB34" s="549"/>
      <c r="AD34" s="549"/>
      <c r="AE34" s="549"/>
      <c r="AF34" s="549"/>
      <c r="AG34" s="549"/>
      <c r="AH34" s="549"/>
      <c r="AL34" s="549"/>
      <c r="AT34" s="548"/>
    </row>
    <row r="35" spans="1:46" s="545" customFormat="1" ht="14" customHeight="1" x14ac:dyDescent="0.15">
      <c r="A35" s="597"/>
      <c r="B35" s="598" t="s">
        <v>22</v>
      </c>
      <c r="C35" s="773">
        <v>0</v>
      </c>
      <c r="D35" s="773">
        <v>0</v>
      </c>
      <c r="E35" s="773">
        <v>0</v>
      </c>
      <c r="F35" s="769">
        <f>SUM(C35:E35)</f>
        <v>0</v>
      </c>
      <c r="G35" s="774">
        <v>0</v>
      </c>
      <c r="H35" s="622"/>
      <c r="I35" s="622"/>
      <c r="J35" s="622"/>
      <c r="K35" s="622"/>
      <c r="L35" s="622"/>
      <c r="M35" s="622"/>
      <c r="N35" s="804">
        <f>G35</f>
        <v>0</v>
      </c>
      <c r="O35" s="623"/>
      <c r="P35" s="804">
        <f t="shared" si="15"/>
        <v>0</v>
      </c>
      <c r="Q35" s="619">
        <f>P35+F35</f>
        <v>0</v>
      </c>
      <c r="R35" s="158" t="e">
        <f>Q35/Q37</f>
        <v>#DIV/0!</v>
      </c>
      <c r="AT35" s="548"/>
    </row>
    <row r="36" spans="1:46" s="621" customFormat="1" ht="14" customHeight="1" thickBot="1" x14ac:dyDescent="0.2">
      <c r="A36" s="591"/>
      <c r="B36" s="592" t="s">
        <v>43</v>
      </c>
      <c r="C36" s="775">
        <f t="shared" ref="C36:G36" si="16">SUM(C33:C35)</f>
        <v>0</v>
      </c>
      <c r="D36" s="775">
        <f t="shared" si="16"/>
        <v>0</v>
      </c>
      <c r="E36" s="775">
        <f t="shared" si="16"/>
        <v>0</v>
      </c>
      <c r="F36" s="775">
        <f t="shared" si="16"/>
        <v>0</v>
      </c>
      <c r="G36" s="775">
        <f t="shared" si="16"/>
        <v>0</v>
      </c>
      <c r="H36" s="622"/>
      <c r="I36" s="622"/>
      <c r="J36" s="622"/>
      <c r="K36" s="622"/>
      <c r="L36" s="622"/>
      <c r="M36" s="622"/>
      <c r="N36" s="800">
        <f>SUM(N33:N35)</f>
        <v>0</v>
      </c>
      <c r="O36" s="623"/>
      <c r="P36" s="890">
        <f>SUM(P33:P35)</f>
        <v>0</v>
      </c>
      <c r="Q36" s="620">
        <f>SUM(Q33:Q35)</f>
        <v>0</v>
      </c>
      <c r="R36" s="265" t="e">
        <f>Q36/Q37</f>
        <v>#DIV/0!</v>
      </c>
      <c r="AA36" s="545"/>
      <c r="AT36" s="706"/>
    </row>
    <row r="37" spans="1:46" s="624" customFormat="1" ht="14" customHeight="1" thickBot="1" x14ac:dyDescent="0.2">
      <c r="A37" s="599"/>
      <c r="B37" s="600" t="s">
        <v>23</v>
      </c>
      <c r="C37" s="776">
        <f>C36+C13</f>
        <v>0</v>
      </c>
      <c r="D37" s="776">
        <f>D36+D13</f>
        <v>0</v>
      </c>
      <c r="E37" s="776">
        <f>E36+E13</f>
        <v>0</v>
      </c>
      <c r="F37" s="776">
        <f>F36+F13</f>
        <v>0</v>
      </c>
      <c r="G37" s="776">
        <f t="shared" ref="G37:K37" si="17">G32</f>
        <v>0</v>
      </c>
      <c r="H37" s="776">
        <f t="shared" si="17"/>
        <v>0</v>
      </c>
      <c r="I37" s="776">
        <f t="shared" si="17"/>
        <v>0</v>
      </c>
      <c r="J37" s="776">
        <f t="shared" si="17"/>
        <v>0</v>
      </c>
      <c r="K37" s="776">
        <f t="shared" si="17"/>
        <v>0</v>
      </c>
      <c r="L37" s="776">
        <f>L32</f>
        <v>0</v>
      </c>
      <c r="M37" s="885">
        <f>M32</f>
        <v>0</v>
      </c>
      <c r="N37" s="801">
        <f>N36+N32</f>
        <v>0</v>
      </c>
      <c r="O37" s="801">
        <f>O36+O32</f>
        <v>0</v>
      </c>
      <c r="P37" s="801">
        <f>P36+P32</f>
        <v>0</v>
      </c>
      <c r="Q37" s="836">
        <f>Q36+Q32+Q13</f>
        <v>0</v>
      </c>
      <c r="R37" s="266" t="e">
        <f>Q37/Q37</f>
        <v>#DIV/0!</v>
      </c>
      <c r="AA37" s="545"/>
      <c r="AT37" s="707"/>
    </row>
    <row r="38" spans="1:46" ht="14" customHeight="1" x14ac:dyDescent="0.15">
      <c r="A38" s="601"/>
      <c r="B38" s="602" t="s">
        <v>38</v>
      </c>
      <c r="C38" s="158" t="e">
        <f>C37/Q37</f>
        <v>#DIV/0!</v>
      </c>
      <c r="D38" s="158" t="e">
        <f>D37/Q37</f>
        <v>#DIV/0!</v>
      </c>
      <c r="E38" s="159" t="e">
        <f>E37/Q37</f>
        <v>#DIV/0!</v>
      </c>
      <c r="F38" s="158" t="e">
        <f>F37/Q37</f>
        <v>#DIV/0!</v>
      </c>
      <c r="G38" s="158" t="e">
        <f>G37/Q37</f>
        <v>#DIV/0!</v>
      </c>
      <c r="H38" s="158" t="e">
        <f>H37/Q37</f>
        <v>#DIV/0!</v>
      </c>
      <c r="I38" s="158" t="e">
        <f>I37/Q37</f>
        <v>#DIV/0!</v>
      </c>
      <c r="J38" s="158" t="e">
        <f>J37/Q37</f>
        <v>#DIV/0!</v>
      </c>
      <c r="K38" s="158" t="e">
        <f>K37/Q37</f>
        <v>#DIV/0!</v>
      </c>
      <c r="L38" s="158" t="e">
        <f>L37/Q37</f>
        <v>#DIV/0!</v>
      </c>
      <c r="M38" s="159" t="e">
        <f>M37/Q37</f>
        <v>#DIV/0!</v>
      </c>
      <c r="N38" s="535" t="e">
        <f>N37/Q37</f>
        <v>#DIV/0!</v>
      </c>
      <c r="O38" s="535" t="e">
        <f>O37/Q37</f>
        <v>#DIV/0!</v>
      </c>
      <c r="P38" s="536" t="e">
        <f>P37/Q37</f>
        <v>#DIV/0!</v>
      </c>
      <c r="Q38" s="158" t="e">
        <f>Q37/Q37</f>
        <v>#DIV/0!</v>
      </c>
      <c r="V38" s="6"/>
      <c r="W38" s="6"/>
      <c r="X38" s="6"/>
      <c r="Y38" s="6"/>
      <c r="Z38" s="6"/>
    </row>
    <row r="39" spans="1:46" ht="14" customHeight="1" x14ac:dyDescent="0.15">
      <c r="A39" s="6"/>
      <c r="B39" s="6"/>
      <c r="Q39" s="6"/>
      <c r="Z39" s="6"/>
    </row>
    <row r="40" spans="1:46" s="2" customFormat="1" ht="14" hidden="1" customHeight="1" x14ac:dyDescent="0.15">
      <c r="C40" s="3"/>
      <c r="D40" s="3"/>
      <c r="E40" s="3"/>
      <c r="G40" s="3"/>
      <c r="AA40" s="22"/>
      <c r="AT40" s="24"/>
    </row>
    <row r="41" spans="1:46" ht="14" hidden="1" customHeight="1" x14ac:dyDescent="0.15"/>
    <row r="42" spans="1:46" s="607" customFormat="1" ht="14" hidden="1" customHeight="1" x14ac:dyDescent="0.15">
      <c r="A42" s="17"/>
      <c r="B42" s="17"/>
      <c r="D42" s="603"/>
      <c r="E42" s="3"/>
      <c r="F42" s="3"/>
      <c r="G42" s="3"/>
      <c r="K42" s="2"/>
      <c r="L42" s="2"/>
      <c r="AA42" s="545"/>
      <c r="AT42" s="708"/>
    </row>
    <row r="43" spans="1:46" s="607" customFormat="1" ht="14" customHeight="1" x14ac:dyDescent="0.2">
      <c r="A43" s="66" t="s">
        <v>535</v>
      </c>
      <c r="B43" s="17"/>
      <c r="C43" s="17"/>
      <c r="D43" s="603"/>
      <c r="E43" s="3"/>
      <c r="F43" s="3"/>
      <c r="G43" s="3"/>
      <c r="K43" s="2"/>
      <c r="L43" s="2"/>
      <c r="AA43" s="545"/>
      <c r="AT43" s="708"/>
    </row>
    <row r="44" spans="1:46" s="607" customFormat="1" ht="40" customHeight="1" thickBot="1" x14ac:dyDescent="0.2">
      <c r="A44" s="604"/>
      <c r="B44" s="605" t="s">
        <v>137</v>
      </c>
      <c r="C44" s="606" t="s">
        <v>232</v>
      </c>
      <c r="D44" s="606" t="s">
        <v>138</v>
      </c>
      <c r="E44" s="3"/>
      <c r="G44" s="608" t="s">
        <v>155</v>
      </c>
      <c r="H44" s="609" t="s">
        <v>139</v>
      </c>
      <c r="I44" s="609" t="s">
        <v>140</v>
      </c>
      <c r="K44" s="2"/>
      <c r="L44" s="2"/>
      <c r="AA44" s="545"/>
      <c r="AT44" s="708"/>
    </row>
    <row r="45" spans="1:46" s="614" customFormat="1" ht="14" customHeight="1" x14ac:dyDescent="0.15">
      <c r="A45" s="584" t="s">
        <v>235</v>
      </c>
      <c r="B45" s="610" t="s">
        <v>63</v>
      </c>
      <c r="C45" s="613">
        <v>0</v>
      </c>
      <c r="D45" s="764">
        <v>0</v>
      </c>
      <c r="E45" s="3"/>
      <c r="G45" s="814">
        <v>0</v>
      </c>
      <c r="H45" s="768">
        <v>0</v>
      </c>
      <c r="I45" s="768">
        <v>0</v>
      </c>
      <c r="AA45" s="545"/>
      <c r="AT45" s="709"/>
    </row>
    <row r="46" spans="1:46" s="614" customFormat="1" ht="14" customHeight="1" x14ac:dyDescent="0.15">
      <c r="A46" s="584" t="s">
        <v>235</v>
      </c>
      <c r="B46" s="612" t="s">
        <v>64</v>
      </c>
      <c r="C46" s="613">
        <v>0</v>
      </c>
      <c r="D46" s="764">
        <v>0</v>
      </c>
      <c r="E46" s="3"/>
      <c r="G46" s="814">
        <v>0</v>
      </c>
      <c r="H46" s="768">
        <v>0</v>
      </c>
      <c r="I46" s="768">
        <v>0</v>
      </c>
      <c r="AA46" s="545"/>
      <c r="AT46" s="709"/>
    </row>
    <row r="47" spans="1:46" s="614" customFormat="1" ht="14" customHeight="1" x14ac:dyDescent="0.15">
      <c r="A47" s="585" t="s">
        <v>236</v>
      </c>
      <c r="B47" s="586" t="s">
        <v>69</v>
      </c>
      <c r="C47" s="615">
        <v>0</v>
      </c>
      <c r="D47" s="813">
        <v>0</v>
      </c>
      <c r="E47" s="3"/>
      <c r="G47" s="816">
        <v>0</v>
      </c>
      <c r="H47" s="790">
        <v>0</v>
      </c>
      <c r="I47" s="790">
        <v>0</v>
      </c>
      <c r="AA47" s="545"/>
      <c r="AT47" s="709"/>
    </row>
    <row r="48" spans="1:46" s="614" customFormat="1" ht="14" customHeight="1" x14ac:dyDescent="0.15">
      <c r="A48" s="584" t="s">
        <v>234</v>
      </c>
      <c r="B48" s="581" t="s">
        <v>69</v>
      </c>
      <c r="C48" s="616">
        <v>0</v>
      </c>
      <c r="D48" s="765">
        <v>0</v>
      </c>
      <c r="E48" s="3"/>
      <c r="G48" s="815">
        <v>0</v>
      </c>
      <c r="H48" s="777">
        <v>0</v>
      </c>
      <c r="I48" s="777">
        <v>0</v>
      </c>
      <c r="AA48" s="545"/>
      <c r="AT48" s="709"/>
    </row>
    <row r="49" spans="1:46" s="614" customFormat="1" ht="14" customHeight="1" x14ac:dyDescent="0.15">
      <c r="A49" s="587" t="s">
        <v>231</v>
      </c>
      <c r="B49" s="617" t="s">
        <v>233</v>
      </c>
      <c r="C49" s="837">
        <v>0</v>
      </c>
      <c r="D49" s="765">
        <v>0</v>
      </c>
      <c r="E49" s="3"/>
      <c r="G49" s="611"/>
      <c r="H49" s="777">
        <v>0</v>
      </c>
      <c r="I49" s="777">
        <v>0</v>
      </c>
      <c r="AA49" s="545"/>
      <c r="AT49" s="709"/>
    </row>
    <row r="50" spans="1:46" ht="14" customHeight="1" x14ac:dyDescent="0.15">
      <c r="E50" s="3"/>
    </row>
    <row r="51" spans="1:46" ht="14" customHeight="1" x14ac:dyDescent="0.15">
      <c r="A51" s="17" t="s">
        <v>507</v>
      </c>
      <c r="B51" s="1453" t="s">
        <v>709</v>
      </c>
    </row>
    <row r="52" spans="1:46" ht="28" customHeight="1" x14ac:dyDescent="0.15">
      <c r="A52" s="123" t="s">
        <v>110</v>
      </c>
      <c r="B52" s="151" t="s">
        <v>430</v>
      </c>
      <c r="C52" s="151" t="s">
        <v>108</v>
      </c>
      <c r="D52" s="151" t="s">
        <v>112</v>
      </c>
      <c r="E52" s="151" t="s">
        <v>113</v>
      </c>
      <c r="F52" s="151" t="s">
        <v>114</v>
      </c>
      <c r="G52" s="123" t="s">
        <v>109</v>
      </c>
      <c r="H52" s="151" t="s">
        <v>681</v>
      </c>
    </row>
    <row r="53" spans="1:46" ht="14" customHeight="1" x14ac:dyDescent="0.15">
      <c r="A53" s="121" t="s">
        <v>429</v>
      </c>
      <c r="B53" s="705">
        <f>H53*Q37/10000</f>
        <v>0</v>
      </c>
      <c r="C53" s="121"/>
      <c r="D53" s="121"/>
      <c r="E53" s="121"/>
      <c r="F53" s="121"/>
      <c r="G53" s="130">
        <f>B53</f>
        <v>0</v>
      </c>
      <c r="H53" s="1439">
        <v>6.25E-2</v>
      </c>
    </row>
    <row r="54" spans="1:46" ht="14" customHeight="1" x14ac:dyDescent="0.15">
      <c r="A54" s="121" t="s">
        <v>103</v>
      </c>
      <c r="B54" s="121"/>
      <c r="C54" s="755">
        <v>0</v>
      </c>
      <c r="D54" s="755">
        <v>0</v>
      </c>
      <c r="E54" s="705">
        <f>H54*Q37/10000</f>
        <v>0</v>
      </c>
      <c r="F54" s="755">
        <v>0</v>
      </c>
      <c r="G54" s="130">
        <f t="shared" ref="G54:G59" si="18">SUM(C54:F54)</f>
        <v>0</v>
      </c>
      <c r="H54" s="1439">
        <v>7.6874999999999999E-2</v>
      </c>
    </row>
    <row r="55" spans="1:46" ht="14" customHeight="1" x14ac:dyDescent="0.15">
      <c r="A55" s="121" t="s">
        <v>104</v>
      </c>
      <c r="B55" s="121"/>
      <c r="C55" s="755">
        <v>0</v>
      </c>
      <c r="D55" s="755">
        <v>0</v>
      </c>
      <c r="E55" s="705">
        <f>H55*Q37/10000</f>
        <v>0</v>
      </c>
      <c r="F55" s="755">
        <v>0</v>
      </c>
      <c r="G55" s="130">
        <f t="shared" si="18"/>
        <v>0</v>
      </c>
      <c r="H55" s="1439">
        <v>0.22500000000000001</v>
      </c>
    </row>
    <row r="56" spans="1:46" ht="14" customHeight="1" x14ac:dyDescent="0.15">
      <c r="A56" s="121" t="s">
        <v>105</v>
      </c>
      <c r="B56" s="121"/>
      <c r="C56" s="755">
        <v>0</v>
      </c>
      <c r="D56" s="755">
        <v>0</v>
      </c>
      <c r="E56" s="705">
        <f>H56*Q37/10000</f>
        <v>0</v>
      </c>
      <c r="F56" s="755">
        <v>0</v>
      </c>
      <c r="G56" s="130">
        <f t="shared" si="18"/>
        <v>0</v>
      </c>
      <c r="H56" s="1439">
        <v>3.6249999999999998E-2</v>
      </c>
    </row>
    <row r="57" spans="1:46" ht="14" customHeight="1" x14ac:dyDescent="0.15">
      <c r="A57" s="121" t="s">
        <v>106</v>
      </c>
      <c r="B57" s="121"/>
      <c r="C57" s="755">
        <v>0</v>
      </c>
      <c r="D57" s="755">
        <v>0</v>
      </c>
      <c r="E57" s="705">
        <f>H57*Q37/10000</f>
        <v>0</v>
      </c>
      <c r="F57" s="755">
        <v>0</v>
      </c>
      <c r="G57" s="130">
        <f t="shared" si="18"/>
        <v>0</v>
      </c>
      <c r="H57" s="1439">
        <v>0.38937500000000003</v>
      </c>
    </row>
    <row r="58" spans="1:46" ht="14" customHeight="1" x14ac:dyDescent="0.15">
      <c r="A58" s="121" t="s">
        <v>107</v>
      </c>
      <c r="B58" s="121"/>
      <c r="C58" s="755">
        <v>0</v>
      </c>
      <c r="D58" s="755">
        <v>0</v>
      </c>
      <c r="E58" s="705">
        <f>H58*Q37/10000</f>
        <v>0</v>
      </c>
      <c r="F58" s="755">
        <v>0</v>
      </c>
      <c r="G58" s="130">
        <f t="shared" si="18"/>
        <v>0</v>
      </c>
      <c r="H58" s="1439">
        <v>0.125</v>
      </c>
    </row>
    <row r="59" spans="1:46" ht="14" customHeight="1" x14ac:dyDescent="0.15">
      <c r="A59" s="121" t="s">
        <v>428</v>
      </c>
      <c r="B59" s="121"/>
      <c r="C59" s="755">
        <v>0</v>
      </c>
      <c r="D59" s="755">
        <v>0</v>
      </c>
      <c r="E59" s="705">
        <f>H59*Q37/10000</f>
        <v>0</v>
      </c>
      <c r="F59" s="755">
        <v>0</v>
      </c>
      <c r="G59" s="130">
        <f t="shared" si="18"/>
        <v>0</v>
      </c>
      <c r="H59" s="1439">
        <f>1-SUM(H53:H58)</f>
        <v>8.4999999999999964E-2</v>
      </c>
    </row>
    <row r="60" spans="1:46" ht="14" customHeight="1" x14ac:dyDescent="0.15">
      <c r="A60" s="123" t="s">
        <v>109</v>
      </c>
      <c r="B60" s="537">
        <f>SUM(B53:B59)</f>
        <v>0</v>
      </c>
      <c r="C60" s="537">
        <f>SUM(C53:C59)</f>
        <v>0</v>
      </c>
      <c r="D60" s="537">
        <f t="shared" ref="D60:F60" si="19">SUM(D53:D59)</f>
        <v>0</v>
      </c>
      <c r="E60" s="537">
        <f t="shared" si="19"/>
        <v>0</v>
      </c>
      <c r="F60" s="537">
        <f t="shared" si="19"/>
        <v>0</v>
      </c>
      <c r="G60" s="129">
        <f>SUM(G53:G59)</f>
        <v>0</v>
      </c>
      <c r="H60" s="1424">
        <f>SUM(H53:H59)</f>
        <v>1</v>
      </c>
    </row>
    <row r="61" spans="1:46" ht="14" customHeight="1" x14ac:dyDescent="0.15">
      <c r="A61" s="6"/>
      <c r="B61" s="6"/>
    </row>
    <row r="62" spans="1:46" ht="14" customHeight="1" x14ac:dyDescent="0.15">
      <c r="A62" s="17" t="s">
        <v>510</v>
      </c>
      <c r="B62" s="6"/>
    </row>
    <row r="63" spans="1:46" ht="14" customHeight="1" x14ac:dyDescent="0.15">
      <c r="A63" s="123" t="s">
        <v>89</v>
      </c>
      <c r="B63" s="151" t="s">
        <v>511</v>
      </c>
      <c r="C63" s="151" t="s">
        <v>512</v>
      </c>
    </row>
    <row r="64" spans="1:46" ht="14" customHeight="1" x14ac:dyDescent="0.15">
      <c r="A64" s="5" t="s">
        <v>534</v>
      </c>
      <c r="B64" s="704">
        <v>0</v>
      </c>
      <c r="C64" s="762"/>
    </row>
    <row r="65" spans="1:38" ht="14" customHeight="1" x14ac:dyDescent="0.15">
      <c r="A65" s="5" t="s">
        <v>508</v>
      </c>
      <c r="B65" s="703">
        <f>G60*10000</f>
        <v>0</v>
      </c>
      <c r="C65" s="763" t="e">
        <f>(B65-B64)/B65</f>
        <v>#DIV/0!</v>
      </c>
    </row>
    <row r="66" spans="1:38" ht="14" customHeight="1" x14ac:dyDescent="0.15">
      <c r="A66" s="5" t="s">
        <v>509</v>
      </c>
      <c r="B66" s="703">
        <f>Q37</f>
        <v>0</v>
      </c>
      <c r="C66" s="763" t="e">
        <f>(B66-B64)/B66</f>
        <v>#DIV/0!</v>
      </c>
    </row>
    <row r="67" spans="1:38" ht="14" customHeight="1" x14ac:dyDescent="0.15">
      <c r="A67" s="6"/>
      <c r="B67" s="6"/>
    </row>
    <row r="68" spans="1:38" ht="14" customHeight="1" x14ac:dyDescent="0.15">
      <c r="A68" s="550" t="s">
        <v>48</v>
      </c>
      <c r="B68" s="64"/>
      <c r="F68" s="75"/>
      <c r="G68" s="75"/>
      <c r="H68" s="75"/>
      <c r="I68" s="75"/>
      <c r="J68" s="75"/>
      <c r="K68" s="75"/>
      <c r="L68" s="75"/>
      <c r="M68" s="75"/>
      <c r="N68" s="75"/>
      <c r="O68" s="75"/>
      <c r="P68" s="75"/>
      <c r="Q68" s="75"/>
      <c r="R68" s="2"/>
      <c r="S68" s="75"/>
      <c r="T68" s="75"/>
      <c r="U68" s="6"/>
      <c r="V68" s="75"/>
      <c r="W68" s="75"/>
      <c r="X68" s="75"/>
      <c r="Y68" s="75"/>
      <c r="Z68" s="75"/>
      <c r="AB68" s="75"/>
      <c r="AD68" s="75"/>
      <c r="AE68" s="75"/>
      <c r="AF68" s="75"/>
      <c r="AG68" s="75"/>
      <c r="AH68" s="75"/>
      <c r="AI68" s="6"/>
      <c r="AL68" s="75"/>
    </row>
    <row r="69" spans="1:38" ht="14" customHeight="1" x14ac:dyDescent="0.15">
      <c r="A69" s="551" t="s">
        <v>50</v>
      </c>
      <c r="B69" s="160"/>
      <c r="C69" s="160"/>
      <c r="U69" s="6"/>
      <c r="Z69" s="6"/>
      <c r="AI69" s="6"/>
    </row>
    <row r="70" spans="1:38" ht="14" customHeight="1" x14ac:dyDescent="0.15">
      <c r="A70" s="552" t="s">
        <v>433</v>
      </c>
      <c r="B70" s="552"/>
      <c r="C70" s="552"/>
      <c r="Z70" s="6"/>
    </row>
    <row r="71" spans="1:38" ht="14" customHeight="1" x14ac:dyDescent="0.15">
      <c r="A71" s="553"/>
      <c r="B71" s="39"/>
      <c r="Z71" s="6"/>
    </row>
    <row r="72" spans="1:38" ht="14" customHeight="1" x14ac:dyDescent="0.15">
      <c r="A72" s="553"/>
      <c r="B72" s="39"/>
      <c r="Z72" s="6"/>
    </row>
    <row r="73" spans="1:38" ht="14" customHeight="1" x14ac:dyDescent="0.15">
      <c r="A73" s="553"/>
      <c r="B73" s="39"/>
      <c r="Z73" s="6"/>
    </row>
    <row r="74" spans="1:38" ht="14" customHeight="1" x14ac:dyDescent="0.15">
      <c r="Z74" s="6"/>
    </row>
  </sheetData>
  <sheetProtection selectLockedCells="1"/>
  <mergeCells count="4">
    <mergeCell ref="A2:B2"/>
    <mergeCell ref="A9:B9"/>
    <mergeCell ref="A18:B18"/>
    <mergeCell ref="T18:U18"/>
  </mergeCells>
  <printOptions headings="1"/>
  <pageMargins left="0.7" right="0.7" top="0.75" bottom="0.75" header="0.3" footer="0.3"/>
  <pageSetup paperSize="9" scale="73" fitToWidth="0" fitToHeight="5" orientation="landscape" horizontalDpi="4294967292" verticalDpi="4294967292" r:id="rId1"/>
  <headerFooter>
    <oddHeader>&amp;R&amp;K000000&amp;A
Page &amp;P of &amp;N</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F922D-94ED-A04E-8BA3-F7DF1B426E0C}">
  <sheetPr>
    <tabColor theme="6" tint="0.79998168889431442"/>
  </sheetPr>
  <dimension ref="A1:H23"/>
  <sheetViews>
    <sheetView zoomScale="220" workbookViewId="0">
      <selection activeCell="G15" sqref="G15"/>
    </sheetView>
  </sheetViews>
  <sheetFormatPr baseColWidth="10" defaultRowHeight="13" x14ac:dyDescent="0.15"/>
  <cols>
    <col min="1" max="1" width="40.33203125" customWidth="1"/>
    <col min="3" max="3" width="11.83203125" bestFit="1" customWidth="1"/>
    <col min="4" max="4" width="11" customWidth="1"/>
    <col min="5" max="5" width="12.5" customWidth="1"/>
    <col min="6" max="6" width="11" customWidth="1"/>
    <col min="7" max="7" width="12.5" customWidth="1"/>
  </cols>
  <sheetData>
    <row r="1" spans="1:7" ht="16" x14ac:dyDescent="0.15">
      <c r="A1" s="23" t="s">
        <v>130</v>
      </c>
      <c r="B1" s="24"/>
      <c r="C1" s="24"/>
      <c r="D1" s="24"/>
      <c r="E1" s="131"/>
      <c r="F1" s="132"/>
      <c r="G1" s="2"/>
    </row>
    <row r="2" spans="1:7" ht="26" x14ac:dyDescent="0.15">
      <c r="A2" s="7" t="s">
        <v>322</v>
      </c>
      <c r="B2" s="58" t="s">
        <v>5</v>
      </c>
      <c r="C2" s="59" t="s">
        <v>2</v>
      </c>
      <c r="D2" s="59" t="s">
        <v>3</v>
      </c>
      <c r="E2" s="15" t="s">
        <v>125</v>
      </c>
      <c r="F2" s="133" t="s">
        <v>31</v>
      </c>
      <c r="G2" s="15" t="s">
        <v>126</v>
      </c>
    </row>
    <row r="3" spans="1:7" ht="14" customHeight="1" x14ac:dyDescent="0.15">
      <c r="A3" s="136" t="s">
        <v>67</v>
      </c>
      <c r="B3" s="941"/>
      <c r="C3" s="942">
        <v>0.1</v>
      </c>
      <c r="D3" s="942">
        <v>0.12</v>
      </c>
      <c r="E3" s="943">
        <f>B3*(1+C3)*(1+D3)</f>
        <v>0</v>
      </c>
      <c r="F3" s="942">
        <v>0.09</v>
      </c>
      <c r="G3" s="943">
        <f>E3*(1+F3)</f>
        <v>0</v>
      </c>
    </row>
    <row r="4" spans="1:7" ht="14" customHeight="1" x14ac:dyDescent="0.15">
      <c r="A4" s="136" t="s">
        <v>127</v>
      </c>
      <c r="B4" s="941"/>
      <c r="C4" s="942">
        <v>0.1</v>
      </c>
      <c r="D4" s="942">
        <v>0.12</v>
      </c>
      <c r="E4" s="943">
        <f>B4*(1+C4)*(1+D4)</f>
        <v>0</v>
      </c>
      <c r="F4" s="944">
        <f>F3</f>
        <v>0.09</v>
      </c>
      <c r="G4" s="943">
        <f>E4*(1+F4)</f>
        <v>0</v>
      </c>
    </row>
    <row r="5" spans="1:7" ht="14" customHeight="1" x14ac:dyDescent="0.15">
      <c r="A5" s="136" t="s">
        <v>127</v>
      </c>
      <c r="B5" s="941"/>
      <c r="C5" s="942">
        <v>0.1</v>
      </c>
      <c r="D5" s="942">
        <v>0.12</v>
      </c>
      <c r="E5" s="943">
        <f>B5*(1+C5)*(1+D5)</f>
        <v>0</v>
      </c>
      <c r="F5" s="944">
        <f>F3</f>
        <v>0.09</v>
      </c>
      <c r="G5" s="943">
        <f>E5*(1+F5)</f>
        <v>0</v>
      </c>
    </row>
    <row r="6" spans="1:7" s="2" customFormat="1" ht="14" customHeight="1" x14ac:dyDescent="0.15">
      <c r="A6" s="11" t="s">
        <v>324</v>
      </c>
      <c r="B6" s="9"/>
      <c r="C6" s="127"/>
      <c r="D6" s="127"/>
      <c r="E6" s="822">
        <f>SUM(E3:E5)</f>
        <v>0</v>
      </c>
      <c r="F6" s="127"/>
      <c r="G6" s="822">
        <f>SUM(G3:G5)</f>
        <v>0</v>
      </c>
    </row>
    <row r="7" spans="1:7" ht="14" customHeight="1" x14ac:dyDescent="0.15">
      <c r="A7" s="17"/>
      <c r="B7" s="5"/>
      <c r="C7" s="5"/>
      <c r="D7" s="5"/>
      <c r="E7" s="5"/>
      <c r="F7" s="5"/>
      <c r="G7" s="5"/>
    </row>
    <row r="8" spans="1:7" ht="26" x14ac:dyDescent="0.15">
      <c r="A8" s="7" t="s">
        <v>323</v>
      </c>
      <c r="B8" s="15" t="s">
        <v>327</v>
      </c>
      <c r="C8" s="59"/>
      <c r="D8" s="59"/>
      <c r="E8" s="59"/>
      <c r="F8" s="59"/>
      <c r="G8" s="15" t="s">
        <v>328</v>
      </c>
    </row>
    <row r="9" spans="1:7" ht="14" customHeight="1" x14ac:dyDescent="0.15">
      <c r="A9" s="136" t="s">
        <v>128</v>
      </c>
      <c r="B9" s="936"/>
      <c r="G9" s="938">
        <f>B9</f>
        <v>0</v>
      </c>
    </row>
    <row r="10" spans="1:7" ht="14" customHeight="1" x14ac:dyDescent="0.15">
      <c r="A10" s="136" t="s">
        <v>129</v>
      </c>
      <c r="B10" s="936"/>
      <c r="G10" s="938">
        <f>B10</f>
        <v>0</v>
      </c>
    </row>
    <row r="11" spans="1:7" ht="14" customHeight="1" x14ac:dyDescent="0.15">
      <c r="A11" s="136" t="s">
        <v>129</v>
      </c>
      <c r="B11" s="936"/>
      <c r="G11" s="938">
        <f>B11</f>
        <v>0</v>
      </c>
    </row>
    <row r="12" spans="1:7" s="2" customFormat="1" ht="14" customHeight="1" x14ac:dyDescent="0.15">
      <c r="A12" s="11" t="s">
        <v>325</v>
      </c>
      <c r="B12" s="443"/>
      <c r="C12" s="939"/>
      <c r="D12" s="939"/>
      <c r="E12" s="443">
        <f>SUM(E9:E11)</f>
        <v>0</v>
      </c>
      <c r="F12" s="939"/>
      <c r="G12" s="940">
        <f>SUM(G9:G11)</f>
        <v>0</v>
      </c>
    </row>
    <row r="13" spans="1:7" ht="14" customHeight="1" x14ac:dyDescent="0.15">
      <c r="A13" s="17"/>
      <c r="B13" s="20"/>
      <c r="C13" s="20"/>
      <c r="D13" s="20"/>
      <c r="E13" s="20"/>
      <c r="F13" s="20"/>
      <c r="G13" s="20"/>
    </row>
    <row r="14" spans="1:7" s="2" customFormat="1" ht="14" customHeight="1" x14ac:dyDescent="0.15">
      <c r="A14" s="8" t="s">
        <v>320</v>
      </c>
      <c r="B14" s="443"/>
      <c r="C14" s="939"/>
      <c r="D14" s="939"/>
      <c r="E14" s="443">
        <f>E6-E12</f>
        <v>0</v>
      </c>
      <c r="F14" s="939"/>
      <c r="G14" s="940">
        <f>G12-G6</f>
        <v>0</v>
      </c>
    </row>
    <row r="15" spans="1:7" ht="14" customHeight="1" x14ac:dyDescent="0.15">
      <c r="A15" s="17"/>
      <c r="B15" s="5"/>
      <c r="C15" s="5"/>
      <c r="D15" s="5"/>
      <c r="F15" s="20" t="s">
        <v>321</v>
      </c>
      <c r="G15" s="937"/>
    </row>
    <row r="16" spans="1:7" ht="14" customHeight="1" x14ac:dyDescent="0.15">
      <c r="B16" s="65"/>
      <c r="C16" s="65"/>
      <c r="D16" s="9"/>
      <c r="E16" s="9"/>
      <c r="F16" s="443" t="s">
        <v>326</v>
      </c>
      <c r="G16" s="940">
        <f>IF(G14&lt;0,G14*G15,0)</f>
        <v>0</v>
      </c>
    </row>
    <row r="17" spans="1:8" s="6" customFormat="1" ht="14" customHeight="1" x14ac:dyDescent="0.15">
      <c r="B17" s="28"/>
      <c r="C17" s="28"/>
      <c r="D17" s="28"/>
      <c r="E17" s="28"/>
      <c r="F17" s="28"/>
      <c r="G17" s="28"/>
      <c r="H17" s="28"/>
    </row>
    <row r="18" spans="1:8" ht="14" customHeight="1" x14ac:dyDescent="0.15">
      <c r="A18" s="64" t="s">
        <v>48</v>
      </c>
      <c r="B18" s="65"/>
      <c r="C18" s="65"/>
      <c r="D18" s="65"/>
      <c r="E18" s="65"/>
      <c r="F18" s="65"/>
      <c r="G18" s="65"/>
    </row>
    <row r="19" spans="1:8" ht="14" customHeight="1" x14ac:dyDescent="0.15">
      <c r="A19" s="161" t="s">
        <v>154</v>
      </c>
      <c r="B19" s="5"/>
      <c r="C19" s="5"/>
      <c r="D19" s="5"/>
      <c r="E19" s="5"/>
      <c r="F19" s="5"/>
      <c r="G19" s="5"/>
    </row>
    <row r="20" spans="1:8" ht="14" customHeight="1" x14ac:dyDescent="0.15">
      <c r="A20" s="53" t="s">
        <v>45</v>
      </c>
      <c r="B20" s="5"/>
      <c r="C20" s="5"/>
      <c r="D20" s="5"/>
      <c r="E20" s="5"/>
      <c r="F20" s="5"/>
      <c r="G20" s="5"/>
    </row>
    <row r="21" spans="1:8" ht="14" customHeight="1" x14ac:dyDescent="0.15">
      <c r="A21" s="25" t="s">
        <v>117</v>
      </c>
    </row>
    <row r="22" spans="1:8" ht="14" customHeight="1" x14ac:dyDescent="0.15"/>
    <row r="23" spans="1:8" x14ac:dyDescent="0.15">
      <c r="A23" s="30" t="str">
        <f>"@Matt, glimpse of value capture for trunk infrastructure, can be hidden or excluded"</f>
        <v>@Matt, glimpse of value capture for trunk infrastructure, can be hidden or excluded</v>
      </c>
    </row>
  </sheetData>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36D93-F0A9-F04A-A40A-6DA87349B497}">
  <sheetPr>
    <tabColor theme="6" tint="0.79998168889431442"/>
    <pageSetUpPr fitToPage="1"/>
  </sheetPr>
  <dimension ref="A1:J34"/>
  <sheetViews>
    <sheetView topLeftCell="A11" zoomScale="241" workbookViewId="0">
      <selection activeCell="E3" sqref="E3:F3"/>
    </sheetView>
  </sheetViews>
  <sheetFormatPr baseColWidth="10" defaultColWidth="10.6640625" defaultRowHeight="14" customHeight="1" x14ac:dyDescent="0.15"/>
  <cols>
    <col min="1" max="1" width="29" style="125" customWidth="1"/>
    <col min="2" max="2" width="12.5" style="121" customWidth="1"/>
    <col min="3" max="4" width="12.5" style="121" hidden="1" customWidth="1"/>
    <col min="5" max="5" width="12.5" style="121" customWidth="1"/>
    <col min="6" max="6" width="12.5" style="121" hidden="1" customWidth="1"/>
    <col min="7" max="7" width="12.5" style="121" customWidth="1"/>
    <col min="8" max="8" width="3.6640625" style="121" customWidth="1"/>
    <col min="9" max="16384" width="10.6640625" style="124"/>
  </cols>
  <sheetData>
    <row r="1" spans="1:10" s="120" customFormat="1" ht="14" customHeight="1" x14ac:dyDescent="0.2">
      <c r="A1" s="118" t="s">
        <v>434</v>
      </c>
      <c r="B1" s="119"/>
      <c r="C1" s="119"/>
      <c r="D1" s="119"/>
      <c r="E1" s="119"/>
      <c r="F1" s="119"/>
      <c r="G1" s="119"/>
      <c r="H1" s="119"/>
    </row>
    <row r="2" spans="1:10" s="126" customFormat="1" ht="24" customHeight="1" x14ac:dyDescent="0.15">
      <c r="A2" s="123" t="s">
        <v>110</v>
      </c>
      <c r="B2" s="151" t="s">
        <v>430</v>
      </c>
      <c r="C2" s="151" t="s">
        <v>108</v>
      </c>
      <c r="D2" s="151" t="s">
        <v>112</v>
      </c>
      <c r="E2" s="151" t="s">
        <v>113</v>
      </c>
      <c r="F2" s="151" t="s">
        <v>114</v>
      </c>
      <c r="G2" s="123" t="s">
        <v>109</v>
      </c>
      <c r="H2" s="125"/>
    </row>
    <row r="3" spans="1:10" ht="14" customHeight="1" x14ac:dyDescent="0.15">
      <c r="A3" s="121" t="s">
        <v>429</v>
      </c>
      <c r="B3" s="945">
        <f>Q!B53</f>
        <v>0</v>
      </c>
      <c r="C3" s="946"/>
      <c r="D3" s="946"/>
      <c r="E3" s="946"/>
      <c r="F3" s="946"/>
      <c r="G3" s="947">
        <f>B3</f>
        <v>0</v>
      </c>
      <c r="I3" s="122"/>
    </row>
    <row r="4" spans="1:10" ht="14" customHeight="1" x14ac:dyDescent="0.15">
      <c r="A4" s="121" t="s">
        <v>103</v>
      </c>
      <c r="B4" s="946"/>
      <c r="C4" s="945">
        <f>Q!C54</f>
        <v>0</v>
      </c>
      <c r="D4" s="945">
        <f>Q!D54</f>
        <v>0</v>
      </c>
      <c r="E4" s="945">
        <f>Q!E54</f>
        <v>0</v>
      </c>
      <c r="F4" s="945">
        <f>Q!F54</f>
        <v>0</v>
      </c>
      <c r="G4" s="947">
        <f>SUM(C4:F4)</f>
        <v>0</v>
      </c>
      <c r="H4" s="122"/>
    </row>
    <row r="5" spans="1:10" ht="14" customHeight="1" x14ac:dyDescent="0.15">
      <c r="A5" s="121" t="s">
        <v>104</v>
      </c>
      <c r="B5" s="946"/>
      <c r="C5" s="945">
        <f>Q!C55</f>
        <v>0</v>
      </c>
      <c r="D5" s="945">
        <f>Q!D55</f>
        <v>0</v>
      </c>
      <c r="E5" s="945">
        <f>Q!E55</f>
        <v>0</v>
      </c>
      <c r="F5" s="945">
        <f>Q!F55</f>
        <v>0</v>
      </c>
      <c r="G5" s="947">
        <f t="shared" ref="G5:G9" si="0">SUM(C5:F5)</f>
        <v>0</v>
      </c>
    </row>
    <row r="6" spans="1:10" ht="14" customHeight="1" x14ac:dyDescent="0.15">
      <c r="A6" s="121" t="s">
        <v>105</v>
      </c>
      <c r="B6" s="946"/>
      <c r="C6" s="945">
        <f>Q!C56</f>
        <v>0</v>
      </c>
      <c r="D6" s="945">
        <f>Q!D56</f>
        <v>0</v>
      </c>
      <c r="E6" s="945">
        <f>Q!E56</f>
        <v>0</v>
      </c>
      <c r="F6" s="945">
        <f>Q!F56</f>
        <v>0</v>
      </c>
      <c r="G6" s="947">
        <f t="shared" si="0"/>
        <v>0</v>
      </c>
    </row>
    <row r="7" spans="1:10" ht="14" customHeight="1" x14ac:dyDescent="0.15">
      <c r="A7" s="121" t="s">
        <v>106</v>
      </c>
      <c r="B7" s="946"/>
      <c r="C7" s="945">
        <f>Q!C57</f>
        <v>0</v>
      </c>
      <c r="D7" s="945">
        <f>Q!D57</f>
        <v>0</v>
      </c>
      <c r="E7" s="945">
        <f>Q!E57</f>
        <v>0</v>
      </c>
      <c r="F7" s="945">
        <f>Q!F57</f>
        <v>0</v>
      </c>
      <c r="G7" s="947">
        <f t="shared" si="0"/>
        <v>0</v>
      </c>
    </row>
    <row r="8" spans="1:10" ht="14" customHeight="1" x14ac:dyDescent="0.15">
      <c r="A8" s="121" t="s">
        <v>107</v>
      </c>
      <c r="B8" s="946"/>
      <c r="C8" s="945">
        <f>Q!C58</f>
        <v>0</v>
      </c>
      <c r="D8" s="945">
        <f>Q!D58</f>
        <v>0</v>
      </c>
      <c r="E8" s="945">
        <f>Q!E58</f>
        <v>0</v>
      </c>
      <c r="F8" s="945">
        <f>Q!F58</f>
        <v>0</v>
      </c>
      <c r="G8" s="947">
        <f t="shared" si="0"/>
        <v>0</v>
      </c>
    </row>
    <row r="9" spans="1:10" ht="14" customHeight="1" x14ac:dyDescent="0.15">
      <c r="A9" s="121" t="s">
        <v>428</v>
      </c>
      <c r="B9" s="946"/>
      <c r="C9" s="945">
        <f>Q!C59</f>
        <v>0</v>
      </c>
      <c r="D9" s="945">
        <f>Q!D59</f>
        <v>0</v>
      </c>
      <c r="E9" s="945">
        <f>Q!E59</f>
        <v>0</v>
      </c>
      <c r="F9" s="945">
        <f>Q!F59</f>
        <v>0</v>
      </c>
      <c r="G9" s="947">
        <f t="shared" si="0"/>
        <v>0</v>
      </c>
    </row>
    <row r="10" spans="1:10" s="126" customFormat="1" ht="14" customHeight="1" x14ac:dyDescent="0.15">
      <c r="A10" s="123" t="s">
        <v>109</v>
      </c>
      <c r="B10" s="948">
        <f>SUM(B3:B9)</f>
        <v>0</v>
      </c>
      <c r="C10" s="948">
        <f>SUM(C3:C9)</f>
        <v>0</v>
      </c>
      <c r="D10" s="948">
        <f t="shared" ref="D10:F10" si="1">SUM(D3:D9)</f>
        <v>0</v>
      </c>
      <c r="E10" s="948">
        <f t="shared" si="1"/>
        <v>0</v>
      </c>
      <c r="F10" s="948">
        <f t="shared" si="1"/>
        <v>0</v>
      </c>
      <c r="G10" s="949">
        <f>SUM(G3:G9)</f>
        <v>0</v>
      </c>
      <c r="H10" s="125"/>
      <c r="I10" s="124"/>
      <c r="J10" s="124"/>
    </row>
    <row r="12" spans="1:10" s="126" customFormat="1" ht="24" customHeight="1" x14ac:dyDescent="0.15">
      <c r="A12" s="123" t="s">
        <v>115</v>
      </c>
      <c r="B12" s="151" t="str">
        <f>B2</f>
        <v>public roads, existing</v>
      </c>
      <c r="C12" s="151" t="str">
        <f>C2</f>
        <v>environmental reservation</v>
      </c>
      <c r="D12" s="151" t="str">
        <f>D2</f>
        <v>social 
reservation</v>
      </c>
      <c r="E12" s="151" t="str">
        <f>E2</f>
        <v>agricultural 
land</v>
      </c>
      <c r="F12" s="151" t="str">
        <f>F2</f>
        <v>urban 
land</v>
      </c>
      <c r="G12" s="123" t="s">
        <v>111</v>
      </c>
      <c r="H12" s="125"/>
    </row>
    <row r="13" spans="1:10" ht="14" customHeight="1" x14ac:dyDescent="0.15">
      <c r="A13" s="121" t="s">
        <v>429</v>
      </c>
      <c r="B13" s="950">
        <v>0</v>
      </c>
      <c r="C13" s="946"/>
      <c r="D13" s="946"/>
      <c r="E13" s="946"/>
      <c r="F13" s="946"/>
      <c r="G13" s="951" t="e">
        <f t="shared" ref="G13:G19" si="2">G23/G3/10000</f>
        <v>#DIV/0!</v>
      </c>
    </row>
    <row r="14" spans="1:10" ht="14" customHeight="1" x14ac:dyDescent="0.15">
      <c r="A14" s="121" t="s">
        <v>103</v>
      </c>
      <c r="B14" s="946"/>
      <c r="C14" s="952">
        <v>0</v>
      </c>
      <c r="D14" s="952">
        <v>0</v>
      </c>
      <c r="E14" s="950">
        <v>10.26</v>
      </c>
      <c r="F14" s="952">
        <v>0</v>
      </c>
      <c r="G14" s="951" t="e">
        <f t="shared" si="2"/>
        <v>#DIV/0!</v>
      </c>
    </row>
    <row r="15" spans="1:10" ht="14" customHeight="1" x14ac:dyDescent="0.15">
      <c r="A15" s="121" t="s">
        <v>104</v>
      </c>
      <c r="B15" s="946"/>
      <c r="C15" s="952">
        <v>0</v>
      </c>
      <c r="D15" s="952">
        <v>0</v>
      </c>
      <c r="E15" s="950">
        <v>10.75</v>
      </c>
      <c r="F15" s="952">
        <v>0</v>
      </c>
      <c r="G15" s="951" t="e">
        <f t="shared" si="2"/>
        <v>#DIV/0!</v>
      </c>
    </row>
    <row r="16" spans="1:10" ht="14" customHeight="1" x14ac:dyDescent="0.15">
      <c r="A16" s="121" t="s">
        <v>105</v>
      </c>
      <c r="B16" s="946"/>
      <c r="C16" s="952">
        <v>0</v>
      </c>
      <c r="D16" s="952">
        <v>0</v>
      </c>
      <c r="E16" s="950">
        <v>11.55</v>
      </c>
      <c r="F16" s="952">
        <v>0</v>
      </c>
      <c r="G16" s="951" t="e">
        <f t="shared" si="2"/>
        <v>#DIV/0!</v>
      </c>
    </row>
    <row r="17" spans="1:8" ht="14" customHeight="1" x14ac:dyDescent="0.15">
      <c r="A17" s="121" t="s">
        <v>106</v>
      </c>
      <c r="B17" s="946"/>
      <c r="C17" s="952">
        <v>0</v>
      </c>
      <c r="D17" s="952">
        <v>0</v>
      </c>
      <c r="E17" s="950">
        <v>11.79</v>
      </c>
      <c r="F17" s="952">
        <v>0</v>
      </c>
      <c r="G17" s="951" t="e">
        <f t="shared" si="2"/>
        <v>#DIV/0!</v>
      </c>
    </row>
    <row r="18" spans="1:8" ht="14" customHeight="1" x14ac:dyDescent="0.15">
      <c r="A18" s="121" t="s">
        <v>107</v>
      </c>
      <c r="B18" s="946"/>
      <c r="C18" s="952">
        <v>0</v>
      </c>
      <c r="D18" s="952">
        <v>0</v>
      </c>
      <c r="E18" s="950">
        <v>8.5</v>
      </c>
      <c r="F18" s="952">
        <v>0</v>
      </c>
      <c r="G18" s="951" t="e">
        <f t="shared" si="2"/>
        <v>#DIV/0!</v>
      </c>
    </row>
    <row r="19" spans="1:8" ht="14" customHeight="1" x14ac:dyDescent="0.15">
      <c r="A19" s="121" t="s">
        <v>428</v>
      </c>
      <c r="B19" s="946"/>
      <c r="C19" s="952">
        <v>0</v>
      </c>
      <c r="D19" s="952">
        <v>0</v>
      </c>
      <c r="E19" s="950">
        <v>9</v>
      </c>
      <c r="F19" s="952">
        <v>0</v>
      </c>
      <c r="G19" s="951" t="e">
        <f t="shared" si="2"/>
        <v>#DIV/0!</v>
      </c>
    </row>
    <row r="20" spans="1:8" s="126" customFormat="1" ht="14" customHeight="1" x14ac:dyDescent="0.15">
      <c r="A20" s="123" t="s">
        <v>111</v>
      </c>
      <c r="B20" s="953" t="e">
        <f>B30/B10/10000</f>
        <v>#DIV/0!</v>
      </c>
      <c r="C20" s="953" t="e">
        <f>C30/C10/10000</f>
        <v>#DIV/0!</v>
      </c>
      <c r="D20" s="953" t="e">
        <f t="shared" ref="D20:F20" si="3">D30/D10/10000</f>
        <v>#DIV/0!</v>
      </c>
      <c r="E20" s="953" t="e">
        <f t="shared" si="3"/>
        <v>#DIV/0!</v>
      </c>
      <c r="F20" s="953" t="e">
        <f t="shared" si="3"/>
        <v>#DIV/0!</v>
      </c>
      <c r="G20" s="954" t="e">
        <f>G30/G10/10000</f>
        <v>#DIV/0!</v>
      </c>
      <c r="H20" s="125"/>
    </row>
    <row r="22" spans="1:8" s="126" customFormat="1" ht="24" customHeight="1" x14ac:dyDescent="0.15">
      <c r="A22" s="123" t="s">
        <v>115</v>
      </c>
      <c r="B22" s="151" t="str">
        <f>B12</f>
        <v>public roads, existing</v>
      </c>
      <c r="C22" s="151" t="str">
        <f>C12</f>
        <v>environmental reservation</v>
      </c>
      <c r="D22" s="151" t="str">
        <f>D12</f>
        <v>social 
reservation</v>
      </c>
      <c r="E22" s="151" t="str">
        <f>E12</f>
        <v>agricultural 
land</v>
      </c>
      <c r="F22" s="151" t="str">
        <f>F12</f>
        <v>urban 
land</v>
      </c>
      <c r="G22" s="123" t="s">
        <v>116</v>
      </c>
      <c r="H22" s="125"/>
    </row>
    <row r="23" spans="1:8" ht="14" customHeight="1" x14ac:dyDescent="0.15">
      <c r="A23" s="121" t="s">
        <v>429</v>
      </c>
      <c r="B23" s="943">
        <f t="shared" ref="B23" si="4">B13*B3*10000</f>
        <v>0</v>
      </c>
      <c r="C23" s="943"/>
      <c r="D23" s="943"/>
      <c r="E23" s="943"/>
      <c r="F23" s="943"/>
      <c r="G23" s="955">
        <f>B23</f>
        <v>0</v>
      </c>
    </row>
    <row r="24" spans="1:8" ht="14" customHeight="1" x14ac:dyDescent="0.15">
      <c r="A24" s="121" t="s">
        <v>103</v>
      </c>
      <c r="B24" s="943"/>
      <c r="C24" s="943">
        <f t="shared" ref="C24:F29" si="5">C14*C4*10000</f>
        <v>0</v>
      </c>
      <c r="D24" s="943">
        <f t="shared" si="5"/>
        <v>0</v>
      </c>
      <c r="E24" s="943">
        <f t="shared" si="5"/>
        <v>0</v>
      </c>
      <c r="F24" s="943">
        <f t="shared" si="5"/>
        <v>0</v>
      </c>
      <c r="G24" s="955">
        <f>SUM(C24:F24)</f>
        <v>0</v>
      </c>
    </row>
    <row r="25" spans="1:8" ht="14" customHeight="1" x14ac:dyDescent="0.15">
      <c r="A25" s="121" t="s">
        <v>104</v>
      </c>
      <c r="B25" s="943"/>
      <c r="C25" s="943">
        <f t="shared" si="5"/>
        <v>0</v>
      </c>
      <c r="D25" s="943">
        <f t="shared" si="5"/>
        <v>0</v>
      </c>
      <c r="E25" s="943">
        <f t="shared" si="5"/>
        <v>0</v>
      </c>
      <c r="F25" s="943">
        <f t="shared" si="5"/>
        <v>0</v>
      </c>
      <c r="G25" s="955">
        <f t="shared" ref="G25:G29" si="6">SUM(C25:F25)</f>
        <v>0</v>
      </c>
    </row>
    <row r="26" spans="1:8" ht="14" customHeight="1" x14ac:dyDescent="0.15">
      <c r="A26" s="121" t="s">
        <v>105</v>
      </c>
      <c r="B26" s="943"/>
      <c r="C26" s="943">
        <f t="shared" si="5"/>
        <v>0</v>
      </c>
      <c r="D26" s="943">
        <f t="shared" si="5"/>
        <v>0</v>
      </c>
      <c r="E26" s="943">
        <f t="shared" si="5"/>
        <v>0</v>
      </c>
      <c r="F26" s="943">
        <f t="shared" si="5"/>
        <v>0</v>
      </c>
      <c r="G26" s="955">
        <f t="shared" si="6"/>
        <v>0</v>
      </c>
    </row>
    <row r="27" spans="1:8" ht="14" customHeight="1" x14ac:dyDescent="0.15">
      <c r="A27" s="121" t="s">
        <v>106</v>
      </c>
      <c r="B27" s="943"/>
      <c r="C27" s="943">
        <f t="shared" si="5"/>
        <v>0</v>
      </c>
      <c r="D27" s="943">
        <f t="shared" si="5"/>
        <v>0</v>
      </c>
      <c r="E27" s="943">
        <f t="shared" si="5"/>
        <v>0</v>
      </c>
      <c r="F27" s="943">
        <f t="shared" si="5"/>
        <v>0</v>
      </c>
      <c r="G27" s="955">
        <f t="shared" si="6"/>
        <v>0</v>
      </c>
    </row>
    <row r="28" spans="1:8" ht="14" customHeight="1" x14ac:dyDescent="0.15">
      <c r="A28" s="121" t="s">
        <v>107</v>
      </c>
      <c r="B28" s="943"/>
      <c r="C28" s="943">
        <f t="shared" si="5"/>
        <v>0</v>
      </c>
      <c r="D28" s="943">
        <f t="shared" si="5"/>
        <v>0</v>
      </c>
      <c r="E28" s="943">
        <f t="shared" si="5"/>
        <v>0</v>
      </c>
      <c r="F28" s="943">
        <f t="shared" si="5"/>
        <v>0</v>
      </c>
      <c r="G28" s="955">
        <f t="shared" si="6"/>
        <v>0</v>
      </c>
    </row>
    <row r="29" spans="1:8" ht="14" customHeight="1" x14ac:dyDescent="0.15">
      <c r="A29" s="121" t="s">
        <v>107</v>
      </c>
      <c r="B29" s="943"/>
      <c r="C29" s="943">
        <f t="shared" si="5"/>
        <v>0</v>
      </c>
      <c r="D29" s="943">
        <f t="shared" si="5"/>
        <v>0</v>
      </c>
      <c r="E29" s="943">
        <f t="shared" si="5"/>
        <v>0</v>
      </c>
      <c r="F29" s="943">
        <f t="shared" si="5"/>
        <v>0</v>
      </c>
      <c r="G29" s="955">
        <f t="shared" si="6"/>
        <v>0</v>
      </c>
    </row>
    <row r="30" spans="1:8" ht="14" customHeight="1" x14ac:dyDescent="0.15">
      <c r="A30" s="123" t="s">
        <v>111</v>
      </c>
      <c r="B30" s="955">
        <f>B23</f>
        <v>0</v>
      </c>
      <c r="C30" s="955">
        <f>SUM(C24:C29)</f>
        <v>0</v>
      </c>
      <c r="D30" s="955">
        <f>SUM(D24:D29)</f>
        <v>0</v>
      </c>
      <c r="E30" s="955">
        <f>SUM(E24:E29)</f>
        <v>0</v>
      </c>
      <c r="F30" s="955">
        <f>SUM(F24:F29)</f>
        <v>0</v>
      </c>
      <c r="G30" s="9">
        <f>SUM(G23:G29)</f>
        <v>0</v>
      </c>
    </row>
    <row r="32" spans="1:8" ht="14" customHeight="1" x14ac:dyDescent="0.15">
      <c r="A32" s="162" t="s">
        <v>153</v>
      </c>
    </row>
    <row r="33" spans="1:3" ht="14" customHeight="1" x14ac:dyDescent="0.15">
      <c r="A33" s="164" t="s">
        <v>435</v>
      </c>
      <c r="B33" s="165"/>
      <c r="C33" s="165"/>
    </row>
    <row r="34" spans="1:3" ht="14" customHeight="1" x14ac:dyDescent="0.15">
      <c r="A34" s="161" t="s">
        <v>154</v>
      </c>
    </row>
  </sheetData>
  <phoneticPr fontId="46" type="noConversion"/>
  <pageMargins left="0.7" right="0.7" top="0.75" bottom="0.75" header="0.3" footer="0.3"/>
  <pageSetup paperSize="9"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DEEA6-B907-6D4C-833D-0C3A1EABA968}">
  <sheetPr>
    <tabColor theme="6" tint="0.59999389629810485"/>
  </sheetPr>
  <dimension ref="A1:R116"/>
  <sheetViews>
    <sheetView zoomScale="200" zoomScaleNormal="200" workbookViewId="0">
      <selection activeCell="P87" sqref="P87"/>
    </sheetView>
  </sheetViews>
  <sheetFormatPr baseColWidth="10" defaultColWidth="10.6640625" defaultRowHeight="14" customHeight="1" x14ac:dyDescent="0.15"/>
  <cols>
    <col min="1" max="1" width="27.1640625" style="17" customWidth="1"/>
    <col min="2" max="2" width="12.1640625" style="17" customWidth="1"/>
    <col min="3" max="4" width="12.83203125" style="5" customWidth="1"/>
    <col min="5" max="6" width="6.83203125" style="227" customWidth="1"/>
    <col min="7" max="8" width="6.83203125" style="5" customWidth="1"/>
    <col min="9" max="10" width="12.83203125" style="5" customWidth="1"/>
    <col min="11" max="12" width="12.83203125" customWidth="1"/>
    <col min="13" max="13" width="1.33203125" style="5" customWidth="1"/>
    <col min="14" max="15" width="10.6640625" style="6"/>
    <col min="16" max="16" width="16.33203125" style="6" bestFit="1" customWidth="1"/>
    <col min="17" max="16384" width="10.6640625" style="6"/>
  </cols>
  <sheetData>
    <row r="1" spans="1:16" s="2" customFormat="1" ht="14" customHeight="1" x14ac:dyDescent="0.15">
      <c r="A1" s="23" t="s">
        <v>195</v>
      </c>
      <c r="B1" s="23"/>
      <c r="C1" s="24"/>
      <c r="D1" s="24"/>
      <c r="E1" s="226"/>
      <c r="F1" s="226"/>
      <c r="G1" s="24"/>
      <c r="H1" s="24"/>
      <c r="J1" s="131"/>
      <c r="K1" s="1420"/>
      <c r="M1" s="24"/>
    </row>
    <row r="2" spans="1:16" s="48" customFormat="1" ht="35" customHeight="1" x14ac:dyDescent="0.15">
      <c r="A2" s="7"/>
      <c r="B2" s="7" t="s">
        <v>187</v>
      </c>
      <c r="C2" s="13" t="s">
        <v>0</v>
      </c>
      <c r="D2" s="14" t="s">
        <v>47</v>
      </c>
      <c r="E2" s="1473" t="s">
        <v>5</v>
      </c>
      <c r="F2" s="1473"/>
      <c r="G2" s="1478" t="s">
        <v>2</v>
      </c>
      <c r="H2" s="1478"/>
      <c r="I2" s="16" t="s">
        <v>3</v>
      </c>
      <c r="J2" s="15" t="s">
        <v>125</v>
      </c>
      <c r="K2" s="133" t="s">
        <v>31</v>
      </c>
      <c r="L2" s="15" t="s">
        <v>126</v>
      </c>
    </row>
    <row r="3" spans="1:16" s="33" customFormat="1" ht="14" customHeight="1" x14ac:dyDescent="0.15">
      <c r="A3" s="90"/>
      <c r="B3" s="90" t="s">
        <v>708</v>
      </c>
      <c r="C3" s="938">
        <f>'1off-site'!G14</f>
        <v>0</v>
      </c>
      <c r="D3" s="1452">
        <f>'1off-site'!G15</f>
        <v>0</v>
      </c>
      <c r="E3" s="1474">
        <f>C3*D3</f>
        <v>0</v>
      </c>
      <c r="F3" s="1474"/>
      <c r="G3" s="1470">
        <v>0</v>
      </c>
      <c r="H3" s="1471"/>
      <c r="I3" s="960">
        <v>0.02</v>
      </c>
      <c r="J3" s="961">
        <f>E3*(1+G3)*(1+I3)</f>
        <v>0</v>
      </c>
      <c r="K3" s="1415">
        <f>K6</f>
        <v>0.1</v>
      </c>
      <c r="L3" s="1416">
        <f t="shared" ref="L3:L20" si="0">J3*(1+K3)</f>
        <v>0</v>
      </c>
    </row>
    <row r="4" spans="1:16" s="45" customFormat="1" ht="14" customHeight="1" x14ac:dyDescent="0.15">
      <c r="A4" s="137"/>
      <c r="B4" s="137" t="s">
        <v>131</v>
      </c>
      <c r="C4" s="962">
        <v>10</v>
      </c>
      <c r="D4" s="1423">
        <f>Q!Q37/10000</f>
        <v>0</v>
      </c>
      <c r="E4" s="1474">
        <f>C4*D4*10000</f>
        <v>0</v>
      </c>
      <c r="F4" s="1474"/>
      <c r="G4" s="1470">
        <v>0</v>
      </c>
      <c r="H4" s="1471"/>
      <c r="I4" s="960">
        <v>0.03</v>
      </c>
      <c r="J4" s="961">
        <f>E4*(1+G4)*(1+I4)</f>
        <v>0</v>
      </c>
      <c r="K4" s="1415">
        <f>K6</f>
        <v>0.1</v>
      </c>
      <c r="L4" s="1416">
        <f t="shared" si="0"/>
        <v>0</v>
      </c>
      <c r="P4" s="759"/>
    </row>
    <row r="5" spans="1:16" customFormat="1" ht="14" customHeight="1" x14ac:dyDescent="0.15">
      <c r="A5" s="135"/>
      <c r="B5" s="135" t="s">
        <v>1</v>
      </c>
      <c r="C5" s="962">
        <v>2.5</v>
      </c>
      <c r="D5" s="1423">
        <f>Q!Q37/10000</f>
        <v>0</v>
      </c>
      <c r="E5" s="1474">
        <f>C5*D5*10000</f>
        <v>0</v>
      </c>
      <c r="F5" s="1474"/>
      <c r="G5" s="1470">
        <v>0.05</v>
      </c>
      <c r="H5" s="1471"/>
      <c r="I5" s="960">
        <v>0.1</v>
      </c>
      <c r="J5" s="961">
        <f>E5*(1+G5)*(1+I5)</f>
        <v>0</v>
      </c>
      <c r="K5" s="1415">
        <f>K6</f>
        <v>0.1</v>
      </c>
      <c r="L5" s="1416">
        <f t="shared" si="0"/>
        <v>0</v>
      </c>
      <c r="M5" s="5"/>
      <c r="P5" s="231"/>
    </row>
    <row r="6" spans="1:16" s="134" customFormat="1" ht="14" customHeight="1" x14ac:dyDescent="0.15">
      <c r="A6" s="78"/>
      <c r="B6" s="78" t="s">
        <v>135</v>
      </c>
      <c r="C6" s="963"/>
      <c r="D6" s="964"/>
      <c r="E6" s="1475">
        <f>SUM(E3:F5)</f>
        <v>0</v>
      </c>
      <c r="F6" s="1475"/>
      <c r="G6" s="128"/>
      <c r="H6" s="128"/>
      <c r="I6" s="128"/>
      <c r="J6" s="820">
        <f>SUM(J3:J5)</f>
        <v>0</v>
      </c>
      <c r="K6" s="172">
        <v>0.1</v>
      </c>
      <c r="L6" s="820">
        <f t="shared" si="0"/>
        <v>0</v>
      </c>
      <c r="P6" s="1449" t="e">
        <f>L6/D4</f>
        <v>#DIV/0!</v>
      </c>
    </row>
    <row r="7" spans="1:16" ht="14" customHeight="1" x14ac:dyDescent="0.15">
      <c r="D7"/>
      <c r="F7"/>
      <c r="G7"/>
      <c r="H7"/>
      <c r="I7"/>
      <c r="J7"/>
      <c r="K7" s="35"/>
      <c r="L7" s="35"/>
    </row>
    <row r="8" spans="1:16" ht="14" customHeight="1" x14ac:dyDescent="0.15">
      <c r="A8" s="50"/>
      <c r="B8" s="91" t="s">
        <v>656</v>
      </c>
      <c r="C8" s="965">
        <v>1200</v>
      </c>
      <c r="D8" s="966">
        <f>Q!F3</f>
        <v>0</v>
      </c>
      <c r="E8" s="1474">
        <f>C8*D8</f>
        <v>0</v>
      </c>
      <c r="F8" s="1474"/>
      <c r="G8" s="1472">
        <f>G11</f>
        <v>0.1</v>
      </c>
      <c r="H8" s="1472"/>
      <c r="I8" s="1415">
        <f>I11</f>
        <v>0.12</v>
      </c>
      <c r="J8" s="1416">
        <f t="shared" ref="J8:J19" si="1">E8*(1+G8)*(1+I8)</f>
        <v>0</v>
      </c>
      <c r="K8" s="1415">
        <f>K6</f>
        <v>0.1</v>
      </c>
      <c r="L8" s="1416">
        <f t="shared" si="0"/>
        <v>0</v>
      </c>
      <c r="M8" s="6"/>
    </row>
    <row r="9" spans="1:16" ht="14" customHeight="1" x14ac:dyDescent="0.15">
      <c r="A9" s="68"/>
      <c r="B9" s="94" t="s">
        <v>36</v>
      </c>
      <c r="C9" s="967">
        <v>500</v>
      </c>
      <c r="D9" s="968">
        <f>SUM(Q!X14:X18)</f>
        <v>0</v>
      </c>
      <c r="E9" s="1479">
        <f>C9*D9</f>
        <v>0</v>
      </c>
      <c r="F9" s="1479"/>
      <c r="G9" s="1472">
        <f>G11</f>
        <v>0.1</v>
      </c>
      <c r="H9" s="1472"/>
      <c r="I9" s="1415">
        <f>I11</f>
        <v>0.12</v>
      </c>
      <c r="J9" s="1416">
        <f t="shared" si="1"/>
        <v>0</v>
      </c>
      <c r="K9" s="1415">
        <f>K6</f>
        <v>0.1</v>
      </c>
      <c r="L9" s="1416">
        <f t="shared" si="0"/>
        <v>0</v>
      </c>
      <c r="M9" s="6"/>
    </row>
    <row r="10" spans="1:16" s="28" customFormat="1" ht="14" customHeight="1" x14ac:dyDescent="0.15">
      <c r="A10" s="76" t="s">
        <v>68</v>
      </c>
      <c r="B10" s="94" t="s">
        <v>63</v>
      </c>
      <c r="C10" s="967">
        <v>500</v>
      </c>
      <c r="D10" s="968">
        <f>Q!C45</f>
        <v>0</v>
      </c>
      <c r="E10" s="1479">
        <f>C10*D10</f>
        <v>0</v>
      </c>
      <c r="F10" s="1479"/>
      <c r="G10" s="1472">
        <f>G11</f>
        <v>0.1</v>
      </c>
      <c r="H10" s="1472"/>
      <c r="I10" s="1415">
        <f>I11</f>
        <v>0.12</v>
      </c>
      <c r="J10" s="1416">
        <f t="shared" si="1"/>
        <v>0</v>
      </c>
      <c r="K10" s="1415">
        <f>K6</f>
        <v>0.1</v>
      </c>
      <c r="L10" s="1416">
        <f t="shared" si="0"/>
        <v>0</v>
      </c>
      <c r="O10" s="6"/>
    </row>
    <row r="11" spans="1:16" ht="14" customHeight="1" x14ac:dyDescent="0.15">
      <c r="A11" s="50"/>
      <c r="B11" s="91" t="s">
        <v>159</v>
      </c>
      <c r="C11" s="969"/>
      <c r="D11" s="969"/>
      <c r="E11" s="1468">
        <f>SUM(E8:F10)</f>
        <v>0</v>
      </c>
      <c r="F11" s="1469"/>
      <c r="G11" s="1470">
        <v>0.1</v>
      </c>
      <c r="H11" s="1471"/>
      <c r="I11" s="960">
        <v>0.12</v>
      </c>
      <c r="J11" s="970">
        <f t="shared" si="1"/>
        <v>0</v>
      </c>
      <c r="K11" s="933">
        <f>K6</f>
        <v>0.1</v>
      </c>
      <c r="L11" s="934">
        <f t="shared" si="0"/>
        <v>0</v>
      </c>
      <c r="M11" s="6"/>
      <c r="P11" s="702"/>
    </row>
    <row r="12" spans="1:16" ht="14" customHeight="1" x14ac:dyDescent="0.15">
      <c r="A12" s="51"/>
      <c r="B12" s="92" t="s">
        <v>657</v>
      </c>
      <c r="C12" s="965">
        <v>600</v>
      </c>
      <c r="D12" s="966">
        <f>Q!F4</f>
        <v>0</v>
      </c>
      <c r="E12" s="1474">
        <f>C12*D12</f>
        <v>0</v>
      </c>
      <c r="F12" s="1474"/>
      <c r="G12" s="1472">
        <f>G15</f>
        <v>0.1</v>
      </c>
      <c r="H12" s="1472"/>
      <c r="I12" s="1415">
        <f>I15</f>
        <v>0.12</v>
      </c>
      <c r="J12" s="1416">
        <f t="shared" si="1"/>
        <v>0</v>
      </c>
      <c r="K12" s="1415">
        <f>K6</f>
        <v>0.1</v>
      </c>
      <c r="L12" s="1416">
        <f t="shared" si="0"/>
        <v>0</v>
      </c>
      <c r="M12" s="6"/>
    </row>
    <row r="13" spans="1:16" ht="14" customHeight="1" x14ac:dyDescent="0.15">
      <c r="A13" s="69"/>
      <c r="B13" s="95" t="s">
        <v>35</v>
      </c>
      <c r="C13" s="967">
        <v>400</v>
      </c>
      <c r="D13" s="968">
        <f>SUM(Q!X19:X22)</f>
        <v>0</v>
      </c>
      <c r="E13" s="1479">
        <f>C13*D13</f>
        <v>0</v>
      </c>
      <c r="F13" s="1479"/>
      <c r="G13" s="1472">
        <f>G15</f>
        <v>0.1</v>
      </c>
      <c r="H13" s="1472"/>
      <c r="I13" s="1415">
        <f>I15</f>
        <v>0.12</v>
      </c>
      <c r="J13" s="1416">
        <f t="shared" si="1"/>
        <v>0</v>
      </c>
      <c r="K13" s="1415">
        <f>K6</f>
        <v>0.1</v>
      </c>
      <c r="L13" s="1416">
        <f t="shared" si="0"/>
        <v>0</v>
      </c>
      <c r="M13" s="6"/>
    </row>
    <row r="14" spans="1:16" s="28" customFormat="1" ht="14" customHeight="1" x14ac:dyDescent="0.15">
      <c r="A14" s="76" t="s">
        <v>68</v>
      </c>
      <c r="B14" s="95" t="s">
        <v>64</v>
      </c>
      <c r="C14" s="967">
        <v>500</v>
      </c>
      <c r="D14" s="968">
        <f>Q!C46</f>
        <v>0</v>
      </c>
      <c r="E14" s="1479">
        <f>C14*D14</f>
        <v>0</v>
      </c>
      <c r="F14" s="1479"/>
      <c r="G14" s="1472">
        <f>G15</f>
        <v>0.1</v>
      </c>
      <c r="H14" s="1472"/>
      <c r="I14" s="1415">
        <f>I15</f>
        <v>0.12</v>
      </c>
      <c r="J14" s="1416">
        <f t="shared" si="1"/>
        <v>0</v>
      </c>
      <c r="K14" s="1415">
        <f>K6</f>
        <v>0.1</v>
      </c>
      <c r="L14" s="1416">
        <f t="shared" si="0"/>
        <v>0</v>
      </c>
      <c r="O14" s="6"/>
    </row>
    <row r="15" spans="1:16" ht="14" customHeight="1" x14ac:dyDescent="0.15">
      <c r="A15" s="51"/>
      <c r="B15" s="92" t="s">
        <v>420</v>
      </c>
      <c r="C15" s="971"/>
      <c r="D15" s="971"/>
      <c r="E15" s="1492">
        <f>SUM(E12:F14)</f>
        <v>0</v>
      </c>
      <c r="F15" s="1493"/>
      <c r="G15" s="1470">
        <v>0.1</v>
      </c>
      <c r="H15" s="1471"/>
      <c r="I15" s="960">
        <v>0.12</v>
      </c>
      <c r="J15" s="972">
        <f t="shared" si="1"/>
        <v>0</v>
      </c>
      <c r="K15" s="933">
        <f>K6</f>
        <v>0.1</v>
      </c>
      <c r="L15" s="934">
        <f t="shared" si="0"/>
        <v>0</v>
      </c>
      <c r="M15" s="6"/>
      <c r="P15" s="1449"/>
    </row>
    <row r="16" spans="1:16" ht="14" customHeight="1" x14ac:dyDescent="0.15">
      <c r="A16" s="52"/>
      <c r="B16" s="93" t="s">
        <v>658</v>
      </c>
      <c r="C16" s="965">
        <v>200</v>
      </c>
      <c r="D16" s="966">
        <f>Q!F5</f>
        <v>0</v>
      </c>
      <c r="E16" s="1474">
        <f>C16*D16</f>
        <v>0</v>
      </c>
      <c r="F16" s="1474"/>
      <c r="G16" s="1472">
        <f>G19</f>
        <v>0.1</v>
      </c>
      <c r="H16" s="1472"/>
      <c r="I16" s="1415">
        <f>I19</f>
        <v>0.12</v>
      </c>
      <c r="J16" s="1416">
        <f t="shared" si="1"/>
        <v>0</v>
      </c>
      <c r="K16" s="1415">
        <f>K6</f>
        <v>0.1</v>
      </c>
      <c r="L16" s="1416">
        <f t="shared" si="0"/>
        <v>0</v>
      </c>
      <c r="M16" s="6"/>
    </row>
    <row r="17" spans="1:16" ht="14" customHeight="1" x14ac:dyDescent="0.15">
      <c r="A17" s="70"/>
      <c r="B17" s="96" t="s">
        <v>37</v>
      </c>
      <c r="C17" s="967">
        <v>350</v>
      </c>
      <c r="D17" s="968">
        <f>SUM(Q!X23:X25)</f>
        <v>0</v>
      </c>
      <c r="E17" s="1479">
        <f>C17*D17</f>
        <v>0</v>
      </c>
      <c r="F17" s="1479"/>
      <c r="G17" s="1472">
        <f>G19</f>
        <v>0.1</v>
      </c>
      <c r="H17" s="1472"/>
      <c r="I17" s="1415">
        <f>I19</f>
        <v>0.12</v>
      </c>
      <c r="J17" s="1416">
        <f t="shared" si="1"/>
        <v>0</v>
      </c>
      <c r="K17" s="1415">
        <f>K6</f>
        <v>0.1</v>
      </c>
      <c r="L17" s="1416">
        <f t="shared" si="0"/>
        <v>0</v>
      </c>
      <c r="M17" s="6"/>
    </row>
    <row r="18" spans="1:16" s="28" customFormat="1" ht="14" customHeight="1" x14ac:dyDescent="0.15">
      <c r="A18" s="76" t="s">
        <v>70</v>
      </c>
      <c r="B18" s="96" t="s">
        <v>71</v>
      </c>
      <c r="C18" s="967">
        <v>500</v>
      </c>
      <c r="D18" s="968">
        <f>Q!C47</f>
        <v>0</v>
      </c>
      <c r="E18" s="1479">
        <f>C18*D18</f>
        <v>0</v>
      </c>
      <c r="F18" s="1479"/>
      <c r="G18" s="1472">
        <f>G19</f>
        <v>0.1</v>
      </c>
      <c r="H18" s="1472"/>
      <c r="I18" s="1415">
        <f>I19</f>
        <v>0.12</v>
      </c>
      <c r="J18" s="1416">
        <f t="shared" si="1"/>
        <v>0</v>
      </c>
      <c r="K18" s="1415">
        <f>K6</f>
        <v>0.1</v>
      </c>
      <c r="L18" s="1416">
        <f t="shared" si="0"/>
        <v>0</v>
      </c>
      <c r="O18" s="6"/>
    </row>
    <row r="19" spans="1:16" ht="14" customHeight="1" x14ac:dyDescent="0.15">
      <c r="A19" s="52"/>
      <c r="B19" s="93" t="s">
        <v>160</v>
      </c>
      <c r="C19" s="973"/>
      <c r="D19" s="973"/>
      <c r="E19" s="1490">
        <f>SUM(E16:F18)</f>
        <v>0</v>
      </c>
      <c r="F19" s="1491"/>
      <c r="G19" s="1470">
        <v>0.1</v>
      </c>
      <c r="H19" s="1471"/>
      <c r="I19" s="960">
        <v>0.12</v>
      </c>
      <c r="J19" s="974">
        <f t="shared" si="1"/>
        <v>0</v>
      </c>
      <c r="K19" s="933">
        <f>K6</f>
        <v>0.1</v>
      </c>
      <c r="L19" s="934">
        <f t="shared" si="0"/>
        <v>0</v>
      </c>
      <c r="M19" s="6"/>
      <c r="P19" s="1449"/>
    </row>
    <row r="20" spans="1:16" s="33" customFormat="1" ht="14" customHeight="1" x14ac:dyDescent="0.15">
      <c r="A20" s="78"/>
      <c r="B20" s="78" t="s">
        <v>134</v>
      </c>
      <c r="C20" s="975"/>
      <c r="D20" s="976"/>
      <c r="E20" s="1475">
        <f>E11+E15+E19</f>
        <v>0</v>
      </c>
      <c r="F20" s="1475"/>
      <c r="G20" s="128"/>
      <c r="H20" s="128"/>
      <c r="I20" s="128"/>
      <c r="J20" s="820">
        <f>J11+J15+J19</f>
        <v>0</v>
      </c>
      <c r="K20" s="128">
        <f>K6</f>
        <v>0.1</v>
      </c>
      <c r="L20" s="820">
        <f t="shared" si="0"/>
        <v>0</v>
      </c>
      <c r="P20" s="1449" t="e">
        <f>L20/D4</f>
        <v>#DIV/0!</v>
      </c>
    </row>
    <row r="21" spans="1:16" ht="14" customHeight="1" x14ac:dyDescent="0.15">
      <c r="D21"/>
      <c r="F21"/>
      <c r="G21"/>
      <c r="H21"/>
      <c r="I21"/>
      <c r="J21"/>
      <c r="K21" s="35"/>
      <c r="L21" s="35"/>
    </row>
    <row r="22" spans="1:16" ht="14" hidden="1" customHeight="1" x14ac:dyDescent="0.15">
      <c r="A22" s="98"/>
      <c r="B22" s="98" t="s">
        <v>100</v>
      </c>
      <c r="C22" s="977"/>
      <c r="D22" s="978">
        <f>Q!H37</f>
        <v>0</v>
      </c>
      <c r="E22" s="1479">
        <f t="shared" ref="E22:E25" si="2">C22*D22</f>
        <v>0</v>
      </c>
      <c r="F22" s="1479"/>
      <c r="G22" s="979"/>
      <c r="H22" s="979"/>
      <c r="I22" s="979"/>
      <c r="J22" s="980"/>
      <c r="K22" s="981"/>
      <c r="L22" s="982"/>
      <c r="M22" s="6"/>
    </row>
    <row r="23" spans="1:16" ht="14" hidden="1" customHeight="1" x14ac:dyDescent="0.15">
      <c r="A23" s="97"/>
      <c r="B23" s="97" t="s">
        <v>101</v>
      </c>
      <c r="C23" s="977"/>
      <c r="D23" s="978">
        <f>Q!I37</f>
        <v>0</v>
      </c>
      <c r="E23" s="1479">
        <f t="shared" si="2"/>
        <v>0</v>
      </c>
      <c r="F23" s="1479"/>
      <c r="G23" s="979"/>
      <c r="H23" s="979"/>
      <c r="I23" s="979"/>
      <c r="J23" s="980"/>
      <c r="K23" s="981"/>
      <c r="L23" s="982"/>
      <c r="M23" s="6"/>
    </row>
    <row r="24" spans="1:16" ht="14" hidden="1" customHeight="1" x14ac:dyDescent="0.15">
      <c r="A24" s="98"/>
      <c r="B24" s="98" t="s">
        <v>99</v>
      </c>
      <c r="C24" s="977"/>
      <c r="D24" s="978">
        <f>Q!J37</f>
        <v>0</v>
      </c>
      <c r="E24" s="1479">
        <f t="shared" si="2"/>
        <v>0</v>
      </c>
      <c r="F24" s="1479"/>
      <c r="G24" s="979"/>
      <c r="H24" s="979"/>
      <c r="I24" s="979"/>
      <c r="J24" s="980"/>
      <c r="K24" s="981"/>
      <c r="L24" s="982"/>
      <c r="M24" s="6"/>
    </row>
    <row r="25" spans="1:16" ht="14" hidden="1" customHeight="1" x14ac:dyDescent="0.15">
      <c r="A25" s="97"/>
      <c r="B25" s="97" t="s">
        <v>102</v>
      </c>
      <c r="C25" s="977"/>
      <c r="D25" s="978">
        <f>Q!K37</f>
        <v>0</v>
      </c>
      <c r="E25" s="1479">
        <f t="shared" si="2"/>
        <v>0</v>
      </c>
      <c r="F25" s="1479"/>
      <c r="G25" s="979"/>
      <c r="H25" s="979"/>
      <c r="I25" s="979"/>
      <c r="J25" s="980"/>
      <c r="K25" s="981"/>
      <c r="L25" s="982"/>
      <c r="M25" s="6"/>
    </row>
    <row r="26" spans="1:16" ht="14" customHeight="1" x14ac:dyDescent="0.15">
      <c r="A26" s="61"/>
      <c r="B26" s="98" t="s">
        <v>441</v>
      </c>
      <c r="C26" s="977">
        <v>50</v>
      </c>
      <c r="D26" s="983">
        <f>Q!L32</f>
        <v>0</v>
      </c>
      <c r="E26" s="1479">
        <f>C26*D26</f>
        <v>0</v>
      </c>
      <c r="F26" s="1479"/>
      <c r="G26" s="1472">
        <f>G29</f>
        <v>0.1</v>
      </c>
      <c r="H26" s="1472"/>
      <c r="I26" s="1415">
        <f>I29</f>
        <v>0.12</v>
      </c>
      <c r="J26" s="1416">
        <f>E26*(1+G26)*(1+I26)</f>
        <v>0</v>
      </c>
      <c r="K26" s="1415">
        <f>K6</f>
        <v>0.1</v>
      </c>
      <c r="L26" s="1416">
        <f>J26*(1+K26)</f>
        <v>0</v>
      </c>
    </row>
    <row r="27" spans="1:16" ht="14" customHeight="1" x14ac:dyDescent="0.15">
      <c r="A27" s="60"/>
      <c r="B27" s="97" t="s">
        <v>458</v>
      </c>
      <c r="C27" s="984" t="s">
        <v>442</v>
      </c>
      <c r="D27" s="983">
        <f>Q!M32</f>
        <v>0</v>
      </c>
      <c r="E27" s="1480">
        <f>D4*25000</f>
        <v>0</v>
      </c>
      <c r="F27" s="1480"/>
      <c r="G27" s="1472">
        <f>G29</f>
        <v>0.1</v>
      </c>
      <c r="H27" s="1472"/>
      <c r="I27" s="1415">
        <f>I29</f>
        <v>0.12</v>
      </c>
      <c r="J27" s="1416">
        <f>E27*(1+G27)*(1+I27)</f>
        <v>0</v>
      </c>
      <c r="K27" s="1415">
        <f>K6</f>
        <v>0.1</v>
      </c>
      <c r="L27" s="1416">
        <f>J27*(1+K27)</f>
        <v>0</v>
      </c>
    </row>
    <row r="28" spans="1:16" ht="14" customHeight="1" x14ac:dyDescent="0.15">
      <c r="A28" s="49"/>
      <c r="B28" s="90" t="s">
        <v>456</v>
      </c>
      <c r="C28" s="985"/>
      <c r="D28" s="985"/>
      <c r="E28" s="1480">
        <v>0</v>
      </c>
      <c r="F28" s="1480"/>
      <c r="G28" s="1472">
        <f>G29</f>
        <v>0.1</v>
      </c>
      <c r="H28" s="1472"/>
      <c r="I28" s="1415">
        <f>I29</f>
        <v>0.12</v>
      </c>
      <c r="J28" s="1416">
        <f>E28*(1+G28)*(1+I28)</f>
        <v>0</v>
      </c>
      <c r="K28" s="1415">
        <f>K6</f>
        <v>0.1</v>
      </c>
      <c r="L28" s="1416">
        <f>J28*(1+K28)</f>
        <v>0</v>
      </c>
    </row>
    <row r="29" spans="1:16" s="33" customFormat="1" ht="14" customHeight="1" x14ac:dyDescent="0.15">
      <c r="A29" s="78"/>
      <c r="B29" s="78" t="s">
        <v>136</v>
      </c>
      <c r="C29" s="963"/>
      <c r="D29" s="964"/>
      <c r="E29" s="1475">
        <f>SUM(E22:F28)</f>
        <v>0</v>
      </c>
      <c r="F29" s="1501"/>
      <c r="G29" s="1470">
        <v>0.1</v>
      </c>
      <c r="H29" s="1471"/>
      <c r="I29" s="960">
        <v>0.12</v>
      </c>
      <c r="J29" s="820">
        <f>E29*(1+G29)*(1+I29)</f>
        <v>0</v>
      </c>
      <c r="K29" s="128">
        <f>K6</f>
        <v>0.1</v>
      </c>
      <c r="L29" s="820">
        <f>J29*(1+K29)</f>
        <v>0</v>
      </c>
      <c r="P29" s="1449" t="e">
        <f>L29/D4</f>
        <v>#DIV/0!</v>
      </c>
    </row>
    <row r="30" spans="1:16" ht="14" customHeight="1" x14ac:dyDescent="0.15">
      <c r="D30"/>
      <c r="F30"/>
      <c r="G30"/>
      <c r="H30"/>
      <c r="I30"/>
      <c r="J30"/>
      <c r="K30" s="35"/>
      <c r="L30" s="35"/>
    </row>
    <row r="31" spans="1:16" s="2" customFormat="1" ht="14" customHeight="1" x14ac:dyDescent="0.15">
      <c r="A31" s="11"/>
      <c r="B31" s="11" t="s">
        <v>4</v>
      </c>
      <c r="C31" s="12"/>
      <c r="D31" s="12"/>
      <c r="E31" s="1500">
        <f>E6+E20+E29</f>
        <v>0</v>
      </c>
      <c r="F31" s="1500"/>
      <c r="G31" s="127"/>
      <c r="H31" s="127"/>
      <c r="I31" s="127"/>
      <c r="J31" s="822">
        <f>J6+J20+J29</f>
        <v>0</v>
      </c>
      <c r="K31" s="127" t="e">
        <f>L31/J31-1</f>
        <v>#DIV/0!</v>
      </c>
      <c r="L31" s="822">
        <f>L6+L20+L29</f>
        <v>0</v>
      </c>
      <c r="P31" s="1449" t="e">
        <f>L31/D4</f>
        <v>#DIV/0!</v>
      </c>
    </row>
    <row r="32" spans="1:16" ht="14" customHeight="1" x14ac:dyDescent="0.15">
      <c r="D32"/>
      <c r="F32"/>
      <c r="G32"/>
      <c r="H32"/>
      <c r="I32"/>
      <c r="J32"/>
      <c r="K32" s="35"/>
      <c r="L32" s="35"/>
    </row>
    <row r="33" spans="1:13" s="2" customFormat="1" ht="14" hidden="1" customHeight="1" x14ac:dyDescent="0.2">
      <c r="A33" s="36" t="s">
        <v>179</v>
      </c>
      <c r="E33" s="226"/>
      <c r="F33" s="226"/>
      <c r="L33" s="1514" t="s">
        <v>191</v>
      </c>
    </row>
    <row r="34" spans="1:13" s="2" customFormat="1" ht="14" hidden="1" customHeight="1" x14ac:dyDescent="0.15">
      <c r="A34" s="57" t="s">
        <v>33</v>
      </c>
      <c r="E34" s="226"/>
      <c r="F34" s="226"/>
      <c r="G34" s="72"/>
      <c r="H34" s="72"/>
      <c r="I34" s="71"/>
      <c r="L34" s="1514"/>
    </row>
    <row r="35" spans="1:13" s="1" customFormat="1" ht="26" hidden="1" customHeight="1" x14ac:dyDescent="0.15">
      <c r="A35" s="206"/>
      <c r="B35" s="220" t="s">
        <v>30</v>
      </c>
      <c r="C35" s="207" t="s">
        <v>190</v>
      </c>
      <c r="D35" s="207" t="s">
        <v>520</v>
      </c>
      <c r="E35" s="1484" t="s">
        <v>132</v>
      </c>
      <c r="F35" s="1484"/>
      <c r="G35" s="1484" t="s">
        <v>44</v>
      </c>
      <c r="H35" s="1484"/>
      <c r="I35" s="207" t="s">
        <v>133</v>
      </c>
      <c r="J35" s="207" t="s">
        <v>162</v>
      </c>
      <c r="L35" s="1514"/>
    </row>
    <row r="36" spans="1:13" ht="14" hidden="1" customHeight="1" x14ac:dyDescent="0.15">
      <c r="A36" s="72"/>
      <c r="B36" s="72" t="s">
        <v>680</v>
      </c>
      <c r="C36" s="751"/>
      <c r="D36" s="751"/>
      <c r="E36" s="1499">
        <f>'2neighborhood'!L6</f>
        <v>0</v>
      </c>
      <c r="F36" s="1499"/>
      <c r="G36" s="1485">
        <f>'2neighborhood'!L20</f>
        <v>0</v>
      </c>
      <c r="H36" s="1485"/>
      <c r="I36" s="751">
        <f>'2neighborhood'!L29</f>
        <v>0</v>
      </c>
      <c r="J36" s="751">
        <f>SUM(E36:I36)</f>
        <v>0</v>
      </c>
      <c r="K36" s="6"/>
      <c r="L36" s="1514"/>
      <c r="M36" s="208"/>
    </row>
    <row r="37" spans="1:13" s="55" customFormat="1" ht="14" hidden="1" customHeight="1" x14ac:dyDescent="0.15">
      <c r="A37" s="209"/>
      <c r="B37" s="209" t="s">
        <v>161</v>
      </c>
      <c r="C37" s="1481">
        <f>SUM(C42:D42)</f>
        <v>0</v>
      </c>
      <c r="D37" s="1481"/>
      <c r="E37" s="1498" t="e">
        <f>E36/C37</f>
        <v>#DIV/0!</v>
      </c>
      <c r="F37" s="1498"/>
      <c r="G37" s="1486" t="e">
        <f>G36/C37</f>
        <v>#DIV/0!</v>
      </c>
      <c r="H37" s="1486"/>
      <c r="I37" s="1442" t="e">
        <f>I36/C37</f>
        <v>#DIV/0!</v>
      </c>
      <c r="J37" s="1442" t="e">
        <f>J36/C37</f>
        <v>#DIV/0!</v>
      </c>
      <c r="L37" s="1514"/>
      <c r="M37" s="229"/>
    </row>
    <row r="38" spans="1:13" s="2" customFormat="1" ht="14" hidden="1" customHeight="1" x14ac:dyDescent="0.15">
      <c r="A38" s="210"/>
      <c r="B38" s="221" t="s">
        <v>9</v>
      </c>
      <c r="C38" s="211">
        <f>Q!Q18</f>
        <v>0</v>
      </c>
      <c r="D38" s="211">
        <f>Q!Q33</f>
        <v>0</v>
      </c>
      <c r="E38" s="1497" t="e">
        <f>(C38+D38)*E37/C38</f>
        <v>#DIV/0!</v>
      </c>
      <c r="F38" s="1497"/>
      <c r="G38" s="1487" t="e">
        <f>'2neighborhood'!L11/C38</f>
        <v>#DIV/0!</v>
      </c>
      <c r="H38" s="1487"/>
      <c r="I38" s="212" t="e">
        <f>(C38+D38)*I37/C38</f>
        <v>#DIV/0!</v>
      </c>
      <c r="J38" s="212" t="e">
        <f>SUM(E38:I38)</f>
        <v>#DIV/0!</v>
      </c>
      <c r="L38" s="1514"/>
    </row>
    <row r="39" spans="1:13" s="2" customFormat="1" ht="14" hidden="1" customHeight="1" x14ac:dyDescent="0.15">
      <c r="A39" s="213"/>
      <c r="B39" s="222" t="s">
        <v>8</v>
      </c>
      <c r="C39" s="211">
        <f>Q!Q22</f>
        <v>0</v>
      </c>
      <c r="D39" s="211">
        <f>Q!Q34</f>
        <v>0</v>
      </c>
      <c r="E39" s="1497" t="e">
        <f>(C39+D39)*E37/C39</f>
        <v>#DIV/0!</v>
      </c>
      <c r="F39" s="1497"/>
      <c r="G39" s="1487" t="e">
        <f>'2neighborhood'!L15/C39</f>
        <v>#DIV/0!</v>
      </c>
      <c r="H39" s="1487"/>
      <c r="I39" s="212" t="e">
        <f>(C39+D39)*I37/C39</f>
        <v>#DIV/0!</v>
      </c>
      <c r="J39" s="212" t="e">
        <f>SUM(E39:I39)</f>
        <v>#DIV/0!</v>
      </c>
      <c r="L39" s="1514"/>
    </row>
    <row r="40" spans="1:13" s="2" customFormat="1" ht="14" hidden="1" customHeight="1" x14ac:dyDescent="0.15">
      <c r="A40" s="214"/>
      <c r="B40" s="223" t="s">
        <v>7</v>
      </c>
      <c r="C40" s="211">
        <f>Q!Q25</f>
        <v>0</v>
      </c>
      <c r="D40" s="211">
        <f>Q!Q35</f>
        <v>0</v>
      </c>
      <c r="E40" s="1497" t="e">
        <f>(C40+D40)*E37/C40</f>
        <v>#DIV/0!</v>
      </c>
      <c r="F40" s="1497"/>
      <c r="G40" s="1502" t="e">
        <f>'2neighborhood'!L19/C40</f>
        <v>#DIV/0!</v>
      </c>
      <c r="H40" s="1502"/>
      <c r="I40" s="215" t="e">
        <f>(C40+D40)*I37/C40</f>
        <v>#DIV/0!</v>
      </c>
      <c r="J40" s="212" t="e">
        <f>SUM(E40:I40)</f>
        <v>#DIV/0!</v>
      </c>
      <c r="L40" s="1514"/>
    </row>
    <row r="41" spans="1:13" s="2" customFormat="1" ht="14" hidden="1" customHeight="1" x14ac:dyDescent="0.15">
      <c r="A41" s="216"/>
      <c r="B41" s="224" t="s">
        <v>6</v>
      </c>
      <c r="C41" s="211">
        <f>Q!Q31</f>
        <v>0</v>
      </c>
      <c r="D41" s="211"/>
      <c r="E41" s="1497" t="e">
        <f>(C41+D41)*E37/C41</f>
        <v>#DIV/0!</v>
      </c>
      <c r="F41" s="1497"/>
      <c r="G41" s="1487"/>
      <c r="H41" s="1487"/>
      <c r="I41" s="212" t="e">
        <f>(C41+D41)*I37/C41</f>
        <v>#DIV/0!</v>
      </c>
      <c r="J41" s="212" t="e">
        <f>SUM(E41:I41)</f>
        <v>#DIV/0!</v>
      </c>
      <c r="L41" s="1514"/>
    </row>
    <row r="42" spans="1:13" s="2" customFormat="1" ht="14" hidden="1" customHeight="1" x14ac:dyDescent="0.15">
      <c r="A42" s="217"/>
      <c r="B42" s="225" t="s">
        <v>34</v>
      </c>
      <c r="C42" s="218">
        <f>SUM(C38:C41)</f>
        <v>0</v>
      </c>
      <c r="D42" s="218">
        <f>SUM(D38:D41)</f>
        <v>0</v>
      </c>
      <c r="E42" s="1496" t="e">
        <f>(E38*C38+E39*C39+E40*C40+E41*C41)/C42</f>
        <v>#DIV/0!</v>
      </c>
      <c r="F42" s="1496"/>
      <c r="G42" s="1476" t="e">
        <f>(G38*C38+G39*C39+G40*C40+G41*C41)/C42</f>
        <v>#DIV/0!</v>
      </c>
      <c r="H42" s="1476"/>
      <c r="I42" s="219" t="e">
        <f>(I38*C38+I39*C39+I40*C40+I41*C41)/C42</f>
        <v>#DIV/0!</v>
      </c>
      <c r="J42" s="219" t="e">
        <f>(J38*C38+J39*C39+J40*C40+J41*C41)/C42</f>
        <v>#DIV/0!</v>
      </c>
      <c r="K42" s="752"/>
      <c r="L42" s="1514"/>
    </row>
    <row r="43" spans="1:13" ht="14" hidden="1" customHeight="1" x14ac:dyDescent="0.15">
      <c r="A43" s="72"/>
      <c r="B43" s="72" t="s">
        <v>32</v>
      </c>
      <c r="C43" s="208"/>
      <c r="D43" s="208"/>
      <c r="E43" s="1495" t="e">
        <f>E42*C42</f>
        <v>#DIV/0!</v>
      </c>
      <c r="F43" s="1495"/>
      <c r="G43" s="1477" t="e">
        <f>G42*C42</f>
        <v>#DIV/0!</v>
      </c>
      <c r="H43" s="1477"/>
      <c r="I43" s="208" t="e">
        <f>I42*C42</f>
        <v>#DIV/0!</v>
      </c>
      <c r="J43" s="208" t="e">
        <f>J42*C42</f>
        <v>#DIV/0!</v>
      </c>
      <c r="K43" s="208"/>
      <c r="L43" s="1514"/>
      <c r="M43" s="208"/>
    </row>
    <row r="44" spans="1:13" ht="14" hidden="1" customHeight="1" x14ac:dyDescent="0.15">
      <c r="A44" s="30" t="str">
        <f>"@Matt: for spot costing - possible to allocate higher share of city/district/local public spaces to different locations"</f>
        <v>@Matt: for spot costing - possible to allocate higher share of city/district/local public spaces to different locations</v>
      </c>
      <c r="B44" s="5"/>
      <c r="E44"/>
      <c r="F44"/>
      <c r="G44"/>
      <c r="H44"/>
      <c r="I44" s="6"/>
      <c r="J44" s="6"/>
      <c r="K44" s="6"/>
      <c r="L44" s="6"/>
      <c r="M44" s="6"/>
    </row>
    <row r="45" spans="1:13" ht="14" hidden="1" customHeight="1" x14ac:dyDescent="0.15">
      <c r="E45"/>
      <c r="F45"/>
      <c r="G45"/>
      <c r="H45"/>
      <c r="I45"/>
      <c r="J45"/>
      <c r="M45"/>
    </row>
    <row r="46" spans="1:13" s="2" customFormat="1" ht="14" customHeight="1" x14ac:dyDescent="0.15">
      <c r="A46" s="23" t="s">
        <v>196</v>
      </c>
      <c r="B46" s="23"/>
      <c r="C46" s="32"/>
      <c r="D46" s="32"/>
      <c r="E46" s="228"/>
      <c r="F46" s="226"/>
      <c r="G46" s="25"/>
      <c r="H46" s="25"/>
      <c r="I46" s="38"/>
      <c r="J46" s="4"/>
      <c r="K46" s="4"/>
      <c r="M46" s="88"/>
    </row>
    <row r="47" spans="1:13" s="2" customFormat="1" ht="14" customHeight="1" x14ac:dyDescent="0.15">
      <c r="A47" s="25" t="s">
        <v>445</v>
      </c>
      <c r="B47" s="47"/>
      <c r="C47" s="32"/>
      <c r="D47" s="32"/>
      <c r="E47" s="228"/>
      <c r="F47" s="226"/>
      <c r="G47" s="25"/>
      <c r="H47" s="25"/>
      <c r="I47" s="38"/>
      <c r="J47" s="4"/>
      <c r="K47" s="4"/>
      <c r="L47" s="6"/>
      <c r="M47" s="88"/>
    </row>
    <row r="48" spans="1:13" s="2" customFormat="1" ht="14" customHeight="1" x14ac:dyDescent="0.15">
      <c r="A48" s="25" t="s">
        <v>443</v>
      </c>
      <c r="B48" s="47"/>
      <c r="C48" s="32"/>
      <c r="D48" s="32"/>
      <c r="E48" s="228"/>
      <c r="F48" s="226"/>
      <c r="G48" s="25"/>
      <c r="H48" s="25"/>
      <c r="I48" s="38"/>
      <c r="J48" s="4"/>
      <c r="K48" s="4"/>
      <c r="L48" s="6"/>
      <c r="M48" s="88"/>
    </row>
    <row r="49" spans="1:18" s="2" customFormat="1" ht="14" customHeight="1" x14ac:dyDescent="0.15">
      <c r="A49" s="25" t="s">
        <v>444</v>
      </c>
      <c r="B49" s="47"/>
      <c r="C49" s="32"/>
      <c r="D49" s="32"/>
      <c r="E49" s="228"/>
      <c r="F49" s="226"/>
      <c r="G49" s="25"/>
      <c r="H49" s="25"/>
      <c r="I49" s="38"/>
      <c r="J49" s="4"/>
      <c r="K49" s="4"/>
      <c r="L49" s="6"/>
      <c r="M49" s="88"/>
    </row>
    <row r="50" spans="1:18" s="1" customFormat="1" ht="47" customHeight="1" x14ac:dyDescent="0.15">
      <c r="A50" s="18"/>
      <c r="B50" s="18" t="s">
        <v>19</v>
      </c>
      <c r="C50" s="1482" t="s">
        <v>527</v>
      </c>
      <c r="D50" s="1482"/>
      <c r="E50" s="758" t="s">
        <v>53</v>
      </c>
      <c r="F50" s="1488" t="s">
        <v>683</v>
      </c>
      <c r="G50" s="1488"/>
      <c r="H50" s="54" t="s">
        <v>703</v>
      </c>
      <c r="I50" s="237" t="s">
        <v>688</v>
      </c>
      <c r="J50" s="237" t="s">
        <v>689</v>
      </c>
      <c r="K50" s="237" t="s">
        <v>687</v>
      </c>
      <c r="L50" s="237" t="s">
        <v>697</v>
      </c>
      <c r="N50" s="1" t="s">
        <v>706</v>
      </c>
      <c r="O50" s="1" t="s">
        <v>705</v>
      </c>
    </row>
    <row r="51" spans="1:18" s="22" customFormat="1" ht="14" customHeight="1" x14ac:dyDescent="0.15">
      <c r="A51" s="631" t="s">
        <v>449</v>
      </c>
      <c r="B51" s="43"/>
      <c r="C51" s="28"/>
      <c r="D51" s="28"/>
      <c r="I51" s="42"/>
      <c r="J51" s="6"/>
      <c r="K51" s="46"/>
      <c r="L51" s="41"/>
      <c r="M51" s="28"/>
    </row>
    <row r="52" spans="1:18" ht="14" customHeight="1" x14ac:dyDescent="0.15">
      <c r="A52" s="79"/>
      <c r="B52" s="79" t="s">
        <v>12</v>
      </c>
      <c r="C52" s="1489" t="s">
        <v>54</v>
      </c>
      <c r="D52" s="1489"/>
      <c r="E52" s="986">
        <f>Q!AM14</f>
        <v>0</v>
      </c>
      <c r="F52" s="1483">
        <v>125</v>
      </c>
      <c r="G52" s="1483"/>
      <c r="H52" s="987" t="e">
        <f>F52/J38-1</f>
        <v>#DIV/0!</v>
      </c>
      <c r="I52" s="988">
        <f>Q!N14</f>
        <v>0</v>
      </c>
      <c r="J52" s="938">
        <f>F52*I52</f>
        <v>0</v>
      </c>
      <c r="K52" s="988">
        <f>Q!O14</f>
        <v>0</v>
      </c>
      <c r="L52" s="938">
        <f>F52*K52</f>
        <v>0</v>
      </c>
      <c r="M52" s="6"/>
      <c r="N52" s="1448" t="e">
        <f>K52/K85</f>
        <v>#DIV/0!</v>
      </c>
      <c r="O52" s="1448" t="e">
        <f>L52/L85</f>
        <v>#DIV/0!</v>
      </c>
    </row>
    <row r="53" spans="1:18" ht="14" customHeight="1" x14ac:dyDescent="0.15">
      <c r="A53" s="80"/>
      <c r="B53" s="80" t="s">
        <v>13</v>
      </c>
      <c r="C53" s="1489" t="s">
        <v>533</v>
      </c>
      <c r="D53" s="1489"/>
      <c r="E53" s="986">
        <f>Q!AM15</f>
        <v>0</v>
      </c>
      <c r="F53" s="1483">
        <v>110</v>
      </c>
      <c r="G53" s="1483"/>
      <c r="H53" s="987" t="e">
        <f>F53/J38-1</f>
        <v>#DIV/0!</v>
      </c>
      <c r="I53" s="988">
        <f>Q!N15</f>
        <v>0</v>
      </c>
      <c r="J53" s="938">
        <f>F53*I53</f>
        <v>0</v>
      </c>
      <c r="K53" s="988">
        <f>Q!O15</f>
        <v>0</v>
      </c>
      <c r="L53" s="938">
        <f>F53*K53</f>
        <v>0</v>
      </c>
      <c r="M53" s="6"/>
      <c r="N53" s="1448" t="e">
        <f>K53/K85</f>
        <v>#DIV/0!</v>
      </c>
      <c r="O53" s="1448" t="e">
        <f>L53/L85</f>
        <v>#DIV/0!</v>
      </c>
    </row>
    <row r="54" spans="1:18" ht="14" customHeight="1" x14ac:dyDescent="0.15">
      <c r="A54" s="81"/>
      <c r="B54" s="81" t="s">
        <v>11</v>
      </c>
      <c r="C54" s="1489" t="s">
        <v>58</v>
      </c>
      <c r="D54" s="1489"/>
      <c r="E54" s="986">
        <f>Q!AM16</f>
        <v>0</v>
      </c>
      <c r="F54" s="1483">
        <v>100</v>
      </c>
      <c r="G54" s="1483"/>
      <c r="H54" s="987" t="e">
        <f>F54/J38-1</f>
        <v>#DIV/0!</v>
      </c>
      <c r="I54" s="988">
        <f>Q!N16</f>
        <v>0</v>
      </c>
      <c r="J54" s="938">
        <f>F54*I54</f>
        <v>0</v>
      </c>
      <c r="K54" s="988">
        <f>Q!O16</f>
        <v>0</v>
      </c>
      <c r="L54" s="938">
        <f>F54*K54</f>
        <v>0</v>
      </c>
      <c r="M54" s="6"/>
      <c r="N54" s="1448" t="e">
        <f>K54/K85</f>
        <v>#DIV/0!</v>
      </c>
      <c r="O54" s="1448" t="e">
        <f>L54/L85</f>
        <v>#DIV/0!</v>
      </c>
    </row>
    <row r="55" spans="1:18" ht="14" customHeight="1" x14ac:dyDescent="0.15">
      <c r="A55" s="82"/>
      <c r="B55" s="82" t="s">
        <v>10</v>
      </c>
      <c r="C55" s="1489" t="s">
        <v>58</v>
      </c>
      <c r="D55" s="1489"/>
      <c r="E55" s="986">
        <f>Q!AM17</f>
        <v>0</v>
      </c>
      <c r="F55" s="1483">
        <v>90</v>
      </c>
      <c r="G55" s="1483"/>
      <c r="H55" s="987" t="e">
        <f>F55/J38-1</f>
        <v>#DIV/0!</v>
      </c>
      <c r="I55" s="988">
        <f>Q!N17</f>
        <v>0</v>
      </c>
      <c r="J55" s="938">
        <f>F55*I55</f>
        <v>0</v>
      </c>
      <c r="K55" s="988">
        <f>Q!O17</f>
        <v>0</v>
      </c>
      <c r="L55" s="938">
        <f>F55*K55</f>
        <v>0</v>
      </c>
      <c r="M55" s="6"/>
      <c r="N55" s="1448" t="e">
        <f>K55/K85</f>
        <v>#DIV/0!</v>
      </c>
      <c r="O55" s="1448" t="e">
        <f>L55/L85</f>
        <v>#DIV/0!</v>
      </c>
    </row>
    <row r="56" spans="1:18" s="10" customFormat="1" ht="14" customHeight="1" x14ac:dyDescent="0.15">
      <c r="A56" s="102"/>
      <c r="B56" s="102" t="s">
        <v>72</v>
      </c>
      <c r="C56" s="1013"/>
      <c r="D56" s="1013"/>
      <c r="E56" s="1014" t="e">
        <f>(E52*SUM(K52,I52)+E53*SUM(K53,I53)+E54*SUM(K54,I54)+E55*SUM(K55,I55))/SUM(K56,I56)</f>
        <v>#DIV/0!</v>
      </c>
      <c r="F56" s="1494" t="e">
        <f>L56/K56</f>
        <v>#DIV/0!</v>
      </c>
      <c r="G56" s="1494"/>
      <c r="H56" s="1443" t="e">
        <f>F56/J38-1</f>
        <v>#DIV/0!</v>
      </c>
      <c r="I56" s="989">
        <f>Q!N18</f>
        <v>0</v>
      </c>
      <c r="J56" s="1015">
        <f>SUM(J52:J55)</f>
        <v>0</v>
      </c>
      <c r="K56" s="989">
        <f>Q!O18</f>
        <v>0</v>
      </c>
      <c r="L56" s="1015">
        <f>SUM(L52:L55)</f>
        <v>0</v>
      </c>
      <c r="N56" s="1448" t="e">
        <f>K56/K85</f>
        <v>#DIV/0!</v>
      </c>
      <c r="O56" s="1448" t="e">
        <f>L56/L85</f>
        <v>#DIV/0!</v>
      </c>
    </row>
    <row r="57" spans="1:18" ht="14" customHeight="1" x14ac:dyDescent="0.15">
      <c r="A57" s="83"/>
      <c r="B57" s="83" t="s">
        <v>14</v>
      </c>
      <c r="C57" s="1489" t="s">
        <v>57</v>
      </c>
      <c r="D57" s="1489"/>
      <c r="E57" s="986">
        <f>Q!AM19</f>
        <v>0</v>
      </c>
      <c r="F57" s="1483">
        <v>85</v>
      </c>
      <c r="G57" s="1483"/>
      <c r="H57" s="987" t="e">
        <f>F57/J39-1</f>
        <v>#DIV/0!</v>
      </c>
      <c r="I57" s="988">
        <f>Q!N19</f>
        <v>0</v>
      </c>
      <c r="J57" s="938">
        <f>F57*I57</f>
        <v>0</v>
      </c>
      <c r="K57" s="988">
        <f>Q!O19</f>
        <v>0</v>
      </c>
      <c r="L57" s="938">
        <f>F57*K57</f>
        <v>0</v>
      </c>
      <c r="M57" s="6"/>
      <c r="N57" s="1448" t="e">
        <f>K57/K85</f>
        <v>#DIV/0!</v>
      </c>
      <c r="O57" s="1448" t="e">
        <f>L57/L85</f>
        <v>#DIV/0!</v>
      </c>
    </row>
    <row r="58" spans="1:18" ht="14" customHeight="1" x14ac:dyDescent="0.15">
      <c r="A58" s="84"/>
      <c r="B58" s="84" t="s">
        <v>15</v>
      </c>
      <c r="C58" s="1489" t="s">
        <v>58</v>
      </c>
      <c r="D58" s="1489"/>
      <c r="E58" s="986">
        <f>Q!AM20</f>
        <v>0</v>
      </c>
      <c r="F58" s="1483">
        <v>75</v>
      </c>
      <c r="G58" s="1483"/>
      <c r="H58" s="987" t="e">
        <f>F58/J39-1</f>
        <v>#DIV/0!</v>
      </c>
      <c r="I58" s="988">
        <f>Q!N20</f>
        <v>0</v>
      </c>
      <c r="J58" s="938">
        <f>F58*I58</f>
        <v>0</v>
      </c>
      <c r="K58" s="988">
        <f>Q!O20</f>
        <v>0</v>
      </c>
      <c r="L58" s="938">
        <f>F58*K58</f>
        <v>0</v>
      </c>
      <c r="M58" s="6"/>
      <c r="N58" s="1448" t="e">
        <f>K58/K85</f>
        <v>#DIV/0!</v>
      </c>
      <c r="O58" s="1448" t="e">
        <f>L58/L85</f>
        <v>#DIV/0!</v>
      </c>
    </row>
    <row r="59" spans="1:18" ht="14" customHeight="1" x14ac:dyDescent="0.15">
      <c r="A59" s="85"/>
      <c r="B59" s="85" t="s">
        <v>16</v>
      </c>
      <c r="C59" s="1489" t="s">
        <v>65</v>
      </c>
      <c r="D59" s="1489"/>
      <c r="E59" s="986">
        <f>Q!AM21</f>
        <v>0</v>
      </c>
      <c r="F59" s="1483">
        <v>65</v>
      </c>
      <c r="G59" s="1483"/>
      <c r="H59" s="987" t="e">
        <f>F59/J39-1</f>
        <v>#DIV/0!</v>
      </c>
      <c r="I59" s="988">
        <f>Q!N21</f>
        <v>0</v>
      </c>
      <c r="J59" s="938">
        <f>F59*I59</f>
        <v>0</v>
      </c>
      <c r="K59" s="988">
        <f>Q!O21</f>
        <v>0</v>
      </c>
      <c r="L59" s="938">
        <f>F59*K59</f>
        <v>0</v>
      </c>
      <c r="M59" s="6"/>
      <c r="N59" s="1448" t="e">
        <f>K59/K85</f>
        <v>#DIV/0!</v>
      </c>
      <c r="O59" s="1448" t="e">
        <f>L59/L85</f>
        <v>#DIV/0!</v>
      </c>
    </row>
    <row r="60" spans="1:18" s="10" customFormat="1" ht="14" customHeight="1" x14ac:dyDescent="0.15">
      <c r="A60" s="103"/>
      <c r="B60" s="103" t="s">
        <v>73</v>
      </c>
      <c r="C60" s="1016"/>
      <c r="D60" s="1016"/>
      <c r="E60" s="1017" t="e">
        <f>(E57*SUM(K57,I57)+E58*SUM(K58,I58)+E59*SUM(K59,I59))/SUM(K60,I60)</f>
        <v>#DIV/0!</v>
      </c>
      <c r="F60" s="1516" t="e">
        <f>L60/K60</f>
        <v>#DIV/0!</v>
      </c>
      <c r="G60" s="1516"/>
      <c r="H60" s="1444" t="e">
        <f>F60/J39-1</f>
        <v>#DIV/0!</v>
      </c>
      <c r="I60" s="992">
        <f>Q!N22</f>
        <v>0</v>
      </c>
      <c r="J60" s="1018">
        <f>SUM(J57:J59)</f>
        <v>0</v>
      </c>
      <c r="K60" s="992">
        <f>Q!O22</f>
        <v>0</v>
      </c>
      <c r="L60" s="1018">
        <f>SUM(L57:L59)</f>
        <v>0</v>
      </c>
      <c r="N60" s="1448" t="e">
        <f>K60/K85</f>
        <v>#DIV/0!</v>
      </c>
      <c r="O60" s="1448" t="e">
        <f>L60/L85</f>
        <v>#DIV/0!</v>
      </c>
    </row>
    <row r="61" spans="1:18" ht="14" customHeight="1" x14ac:dyDescent="0.15">
      <c r="A61" s="86"/>
      <c r="B61" s="86" t="s">
        <v>17</v>
      </c>
      <c r="C61" s="1489" t="s">
        <v>56</v>
      </c>
      <c r="D61" s="1489"/>
      <c r="E61" s="986">
        <f>Q!AM23</f>
        <v>0</v>
      </c>
      <c r="F61" s="1483">
        <v>60</v>
      </c>
      <c r="G61" s="1483"/>
      <c r="H61" s="987" t="e">
        <f>F61/J40-1</f>
        <v>#DIV/0!</v>
      </c>
      <c r="I61" s="988">
        <f>Q!N23</f>
        <v>0</v>
      </c>
      <c r="J61" s="938">
        <f>F61*I61</f>
        <v>0</v>
      </c>
      <c r="K61" s="988">
        <f>Q!O23</f>
        <v>0</v>
      </c>
      <c r="L61" s="938">
        <f>F61*K61</f>
        <v>0</v>
      </c>
      <c r="M61" s="6"/>
      <c r="N61" s="1448" t="e">
        <f>K61/K85</f>
        <v>#DIV/0!</v>
      </c>
      <c r="O61" s="1448" t="e">
        <f>L61/L85</f>
        <v>#DIV/0!</v>
      </c>
    </row>
    <row r="62" spans="1:18" ht="14" customHeight="1" x14ac:dyDescent="0.15">
      <c r="A62" s="87"/>
      <c r="B62" s="87" t="s">
        <v>18</v>
      </c>
      <c r="C62" s="1489" t="s">
        <v>183</v>
      </c>
      <c r="D62" s="1489"/>
      <c r="E62" s="986">
        <f>Q!AM24</f>
        <v>0</v>
      </c>
      <c r="F62" s="1483">
        <v>50</v>
      </c>
      <c r="G62" s="1483"/>
      <c r="H62" s="987" t="e">
        <f>F62/J40-1</f>
        <v>#DIV/0!</v>
      </c>
      <c r="I62" s="988">
        <f>Q!N24</f>
        <v>0</v>
      </c>
      <c r="J62" s="938">
        <f>F62*I62</f>
        <v>0</v>
      </c>
      <c r="K62" s="988">
        <f>Q!O24</f>
        <v>0</v>
      </c>
      <c r="L62" s="938">
        <f>F62*K62</f>
        <v>0</v>
      </c>
      <c r="M62" s="6"/>
      <c r="N62" s="1448" t="e">
        <f>K62/K85</f>
        <v>#DIV/0!</v>
      </c>
      <c r="O62" s="1448" t="e">
        <f>L62/L85</f>
        <v>#DIV/0!</v>
      </c>
    </row>
    <row r="63" spans="1:18" ht="14" customHeight="1" x14ac:dyDescent="0.15">
      <c r="A63" s="40"/>
      <c r="B63" s="40" t="s">
        <v>74</v>
      </c>
      <c r="C63" s="1019"/>
      <c r="D63" s="1019"/>
      <c r="E63" s="761" t="e">
        <f>(E61*SUM(K61,I61)+E62*SUM(K62,I62))/SUM(K63,I63)</f>
        <v>#DIV/0!</v>
      </c>
      <c r="F63" s="1517" t="e">
        <f>L63/K63</f>
        <v>#DIV/0!</v>
      </c>
      <c r="G63" s="1517"/>
      <c r="H63" s="1425" t="e">
        <f>F63/J40-1</f>
        <v>#DIV/0!</v>
      </c>
      <c r="I63" s="993">
        <f>Q!N25</f>
        <v>0</v>
      </c>
      <c r="J63" s="1020">
        <f>SUM(J61:J62)</f>
        <v>0</v>
      </c>
      <c r="K63" s="993">
        <f>Q!O25</f>
        <v>0</v>
      </c>
      <c r="L63" s="1020">
        <f>SUM(L61:L62)</f>
        <v>0</v>
      </c>
      <c r="M63" s="6"/>
      <c r="N63" s="1448" t="e">
        <f>K63/K85</f>
        <v>#DIV/0!</v>
      </c>
      <c r="O63" s="1448" t="e">
        <f>L63/L85</f>
        <v>#DIV/0!</v>
      </c>
    </row>
    <row r="64" spans="1:18" s="22" customFormat="1" ht="14" customHeight="1" x14ac:dyDescent="0.15">
      <c r="A64" s="631" t="s">
        <v>450</v>
      </c>
      <c r="B64" s="994"/>
      <c r="C64" s="32"/>
      <c r="D64" s="32"/>
      <c r="E64" s="995"/>
      <c r="F64" s="996"/>
      <c r="G64" s="996"/>
      <c r="H64" s="997"/>
      <c r="I64" s="1021"/>
      <c r="J64" s="1000"/>
      <c r="K64" s="998"/>
      <c r="L64" s="999"/>
      <c r="M64" s="28"/>
      <c r="N64" s="1447"/>
      <c r="O64" s="1447"/>
      <c r="P64" s="1511" t="s">
        <v>451</v>
      </c>
      <c r="Q64" s="1512"/>
      <c r="R64" s="1505" t="s">
        <v>459</v>
      </c>
    </row>
    <row r="65" spans="1:18" ht="14" customHeight="1" x14ac:dyDescent="0.15">
      <c r="A65" s="1504" t="e">
        <f>'2neighborhood'!J41</f>
        <v>#DIV/0!</v>
      </c>
      <c r="B65" s="1504"/>
      <c r="C65" s="1012"/>
      <c r="D65" s="1012"/>
      <c r="E65" s="995"/>
      <c r="F65" s="1513" t="s">
        <v>678</v>
      </c>
      <c r="G65" s="1513"/>
      <c r="H65" s="991"/>
      <c r="I65" s="988"/>
      <c r="J65" s="824"/>
      <c r="K65" s="988"/>
      <c r="L65" s="823"/>
      <c r="M65" s="6"/>
      <c r="N65" s="1447"/>
      <c r="O65" s="1447"/>
      <c r="P65" s="1418" t="s">
        <v>677</v>
      </c>
      <c r="Q65" s="1419" t="s">
        <v>679</v>
      </c>
      <c r="R65" s="1506"/>
    </row>
    <row r="66" spans="1:18" ht="14" customHeight="1" x14ac:dyDescent="0.15">
      <c r="A66" s="76" t="s">
        <v>448</v>
      </c>
      <c r="B66" s="628" t="s">
        <v>446</v>
      </c>
      <c r="C66" s="1503" t="s">
        <v>184</v>
      </c>
      <c r="D66" s="1503"/>
      <c r="E66" s="986">
        <f>Q!AM26</f>
        <v>0</v>
      </c>
      <c r="F66" s="1508">
        <v>30</v>
      </c>
      <c r="G66" s="1508"/>
      <c r="H66" s="987" t="e">
        <f>F66/J41-1</f>
        <v>#DIV/0!</v>
      </c>
      <c r="I66" s="988">
        <f>Q!N26</f>
        <v>0</v>
      </c>
      <c r="J66" s="938">
        <f>F66*I66</f>
        <v>0</v>
      </c>
      <c r="K66" s="988">
        <f>Q!O26</f>
        <v>0</v>
      </c>
      <c r="L66" s="938">
        <f>F66*K66</f>
        <v>0</v>
      </c>
      <c r="M66" s="6"/>
      <c r="N66" s="1448" t="e">
        <f>K66/K85</f>
        <v>#DIV/0!</v>
      </c>
      <c r="O66" s="1448" t="e">
        <f>L66/L85</f>
        <v>#DIV/0!</v>
      </c>
      <c r="P66" s="188" t="str">
        <f>IF('3cluster_artery'!B3=0,"n/a",'3cluster_artery'!G23)</f>
        <v>n/a</v>
      </c>
      <c r="Q66" s="635" t="str">
        <f>IF('3cluster_artery'!B3=0,"n/a",'3cluster_artery'!H23)</f>
        <v>n/a</v>
      </c>
      <c r="R66" s="1506"/>
    </row>
    <row r="67" spans="1:18" ht="14" customHeight="1" x14ac:dyDescent="0.15">
      <c r="A67" s="76" t="s">
        <v>448</v>
      </c>
      <c r="B67" s="629" t="s">
        <v>447</v>
      </c>
      <c r="C67" s="1503" t="s">
        <v>182</v>
      </c>
      <c r="D67" s="1503"/>
      <c r="E67" s="986">
        <f>Q!AM27</f>
        <v>0</v>
      </c>
      <c r="F67" s="1508">
        <v>20</v>
      </c>
      <c r="G67" s="1508"/>
      <c r="H67" s="987" t="e">
        <f>F67/J41-1</f>
        <v>#DIV/0!</v>
      </c>
      <c r="I67" s="988">
        <f>Q!N27</f>
        <v>0</v>
      </c>
      <c r="J67" s="938">
        <f>F67*I67</f>
        <v>0</v>
      </c>
      <c r="K67" s="988">
        <f>Q!O27</f>
        <v>0</v>
      </c>
      <c r="L67" s="938">
        <f>F67*K67</f>
        <v>0</v>
      </c>
      <c r="M67" s="6"/>
      <c r="N67" s="1448" t="e">
        <f>K67/K85</f>
        <v>#DIV/0!</v>
      </c>
      <c r="O67" s="1448" t="e">
        <f>L67/L85</f>
        <v>#DIV/0!</v>
      </c>
      <c r="P67" s="189" t="str">
        <f>IF('3cluster_secondary'!B3=0,"n/a",'3cluster_secondary'!G23)</f>
        <v>n/a</v>
      </c>
      <c r="Q67" s="636" t="str">
        <f>IF('3cluster_secondary'!B3=0,"n/a",'3cluster_secondary'!H23)</f>
        <v>n/a</v>
      </c>
      <c r="R67" s="1506"/>
    </row>
    <row r="68" spans="1:18" ht="14" customHeight="1" x14ac:dyDescent="0.15">
      <c r="A68" s="76"/>
      <c r="B68" s="76" t="s">
        <v>659</v>
      </c>
      <c r="C68" s="1503" t="s">
        <v>440</v>
      </c>
      <c r="D68" s="1503"/>
      <c r="E68" s="986">
        <f>Q!AM28</f>
        <v>0</v>
      </c>
      <c r="F68" s="1508">
        <v>15</v>
      </c>
      <c r="G68" s="1508"/>
      <c r="H68" s="987" t="e">
        <f>F68/J41-1</f>
        <v>#DIV/0!</v>
      </c>
      <c r="I68" s="988">
        <f>Q!N28+Q!N29</f>
        <v>0</v>
      </c>
      <c r="J68" s="938">
        <f>F68*I68</f>
        <v>0</v>
      </c>
      <c r="K68" s="988">
        <f>Q!O28+Q!O29</f>
        <v>0</v>
      </c>
      <c r="L68" s="938">
        <f>F68*K68</f>
        <v>0</v>
      </c>
      <c r="M68" s="6"/>
      <c r="N68" s="1448" t="e">
        <f>K68/K85</f>
        <v>#DIV/0!</v>
      </c>
      <c r="O68" s="1448" t="e">
        <f>L68/L85</f>
        <v>#DIV/0!</v>
      </c>
      <c r="P68" s="189" t="str">
        <f>IF('3lcluster_local'!B3=0,"n/a",'3lcluster_local'!G23)</f>
        <v>n/a</v>
      </c>
      <c r="Q68" s="636" t="str">
        <f>IF('3lcluster_local'!B3=0,"n/a",'3lcluster_local'!H23)</f>
        <v>n/a</v>
      </c>
      <c r="R68" s="1506"/>
    </row>
    <row r="69" spans="1:18" s="22" customFormat="1" ht="14" customHeight="1" x14ac:dyDescent="0.15">
      <c r="A69" s="631" t="s">
        <v>696</v>
      </c>
      <c r="B69" s="994"/>
      <c r="C69" s="32"/>
      <c r="D69" s="32"/>
      <c r="E69" s="995"/>
      <c r="F69" s="996"/>
      <c r="G69" s="996"/>
      <c r="H69" s="997"/>
      <c r="I69" s="1021"/>
      <c r="J69" s="1000"/>
      <c r="K69" s="998"/>
      <c r="L69" s="999"/>
      <c r="M69" s="28"/>
      <c r="N69" s="1447"/>
      <c r="O69" s="1447"/>
      <c r="P69" s="189"/>
      <c r="Q69" s="634"/>
      <c r="R69" s="1506"/>
    </row>
    <row r="70" spans="1:18" ht="14" customHeight="1" x14ac:dyDescent="0.15">
      <c r="A70" s="114"/>
      <c r="B70" s="114" t="s">
        <v>453</v>
      </c>
      <c r="C70" s="1503" t="s">
        <v>440</v>
      </c>
      <c r="D70" s="1503"/>
      <c r="E70" s="986">
        <f>Q!AM30</f>
        <v>0</v>
      </c>
      <c r="F70" s="1508">
        <v>10</v>
      </c>
      <c r="G70" s="1508"/>
      <c r="H70" s="987" t="e">
        <f>F70/J41-1</f>
        <v>#DIV/0!</v>
      </c>
      <c r="I70" s="988">
        <f>Q!N30</f>
        <v>0</v>
      </c>
      <c r="J70" s="938">
        <f>F70*I70</f>
        <v>0</v>
      </c>
      <c r="K70" s="988">
        <f>Q!O30</f>
        <v>0</v>
      </c>
      <c r="L70" s="938">
        <f>F70*K70</f>
        <v>0</v>
      </c>
      <c r="M70" s="6"/>
      <c r="N70" s="1448" t="e">
        <f>K70/K85</f>
        <v>#DIV/0!</v>
      </c>
      <c r="O70" s="1448" t="e">
        <f>L70/L85</f>
        <v>#DIV/0!</v>
      </c>
      <c r="P70" s="190" t="str">
        <f>IF('3lcluster_local_2level'!B3=0,"n/a",'3lcluster_local_2level'!G44)</f>
        <v>n/a</v>
      </c>
      <c r="Q70" s="637" t="str">
        <f>IF('3lcluster_local_2level'!B3=0,"n/a",'3lcluster_local_2level'!H44)</f>
        <v>n/a</v>
      </c>
      <c r="R70" s="1507"/>
    </row>
    <row r="71" spans="1:18" s="10" customFormat="1" ht="14" customHeight="1" x14ac:dyDescent="0.15">
      <c r="A71" s="169"/>
      <c r="B71" s="170" t="s">
        <v>75</v>
      </c>
      <c r="C71" s="1022"/>
      <c r="D71" s="1022"/>
      <c r="E71" s="1001" t="e">
        <f>(E66*SUM(K66,I66)+E67*SUM(K67,I67)+E68*SUM(K68,I68)+E70*SUM(K70,I70))/SUM(K71,I71)</f>
        <v>#DIV/0!</v>
      </c>
      <c r="F71" s="1509" t="e">
        <f>L71/K71</f>
        <v>#DIV/0!</v>
      </c>
      <c r="G71" s="1509"/>
      <c r="H71" s="1002" t="e">
        <f>F71/J41-1</f>
        <v>#DIV/0!</v>
      </c>
      <c r="I71" s="1003">
        <f>Q!N31</f>
        <v>0</v>
      </c>
      <c r="J71" s="1023">
        <f>SUM(J66:J70)</f>
        <v>0</v>
      </c>
      <c r="K71" s="1003">
        <f>Q!O31</f>
        <v>0</v>
      </c>
      <c r="L71" s="1023">
        <f>SUM(L66:L70)</f>
        <v>0</v>
      </c>
      <c r="N71" s="1448" t="e">
        <f>K71/K85</f>
        <v>#DIV/0!</v>
      </c>
      <c r="O71" s="1448" t="e">
        <f>L71/L85</f>
        <v>#DIV/0!</v>
      </c>
    </row>
    <row r="72" spans="1:18" ht="14" customHeight="1" x14ac:dyDescent="0.15">
      <c r="K72" s="5"/>
      <c r="L72" s="5"/>
    </row>
    <row r="73" spans="1:18" s="33" customFormat="1" ht="14" customHeight="1" x14ac:dyDescent="0.15">
      <c r="A73" s="104"/>
      <c r="B73" s="104" t="s">
        <v>700</v>
      </c>
      <c r="C73" s="1024"/>
      <c r="D73" s="1024"/>
      <c r="E73" s="1007" t="e">
        <f>(E52*K52+E56*K56+E59*K59+E67*K67)/K73</f>
        <v>#DIV/0!</v>
      </c>
      <c r="F73" s="1510" t="e">
        <f>L73/K73</f>
        <v>#DIV/0!</v>
      </c>
      <c r="G73" s="1510"/>
      <c r="H73" s="1008"/>
      <c r="I73" s="1025"/>
      <c r="J73" s="1026"/>
      <c r="K73" s="1025">
        <f>SUM(K51:K72)/2</f>
        <v>0</v>
      </c>
      <c r="L73" s="1026">
        <f>SUM(L51:L72)/2</f>
        <v>0</v>
      </c>
      <c r="N73" s="1448" t="e">
        <f>K73/K85</f>
        <v>#DIV/0!</v>
      </c>
      <c r="O73" s="1448" t="e">
        <f>L73/L85</f>
        <v>#DIV/0!</v>
      </c>
      <c r="P73" s="10"/>
    </row>
    <row r="74" spans="1:18" ht="14" customHeight="1" x14ac:dyDescent="0.15">
      <c r="A74" s="6"/>
      <c r="L74" s="6"/>
    </row>
    <row r="75" spans="1:18" ht="14" customHeight="1" x14ac:dyDescent="0.15">
      <c r="A75" s="631" t="s">
        <v>699</v>
      </c>
      <c r="B75" s="1426"/>
      <c r="C75" s="1427"/>
      <c r="H75" s="6"/>
      <c r="I75" s="6"/>
      <c r="J75" s="1441" t="s">
        <v>701</v>
      </c>
      <c r="K75" s="960">
        <v>0.05</v>
      </c>
      <c r="L75" s="1428">
        <f>-K75*L73</f>
        <v>0</v>
      </c>
      <c r="M75" s="22"/>
    </row>
    <row r="76" spans="1:18" s="33" customFormat="1" ht="14" customHeight="1" x14ac:dyDescent="0.15">
      <c r="A76" s="104"/>
      <c r="B76" s="104" t="s">
        <v>702</v>
      </c>
      <c r="C76" s="1024"/>
      <c r="D76" s="1024"/>
      <c r="E76" s="1007"/>
      <c r="F76" s="1510"/>
      <c r="G76" s="1510"/>
      <c r="H76" s="1008"/>
      <c r="I76" s="1008"/>
      <c r="J76" s="1008"/>
      <c r="K76" s="1025"/>
      <c r="L76" s="1026">
        <f>SUM(L73,L75)</f>
        <v>0</v>
      </c>
      <c r="N76" s="1450" t="e">
        <f>N73</f>
        <v>#DIV/0!</v>
      </c>
      <c r="O76" s="1448" t="e">
        <f>L76/L85</f>
        <v>#DIV/0!</v>
      </c>
      <c r="P76" s="10"/>
    </row>
    <row r="77" spans="1:18" s="22" customFormat="1" ht="14" customHeight="1" x14ac:dyDescent="0.15">
      <c r="B77" s="1434"/>
      <c r="C77" s="28"/>
      <c r="D77" s="28"/>
      <c r="E77" s="28"/>
      <c r="I77" s="42"/>
      <c r="J77" s="523"/>
      <c r="L77" s="523"/>
      <c r="M77" s="28"/>
    </row>
    <row r="78" spans="1:18" s="33" customFormat="1" ht="14" customHeight="1" x14ac:dyDescent="0.15">
      <c r="A78" s="104"/>
      <c r="B78" s="104" t="s">
        <v>682</v>
      </c>
      <c r="C78" s="1024"/>
      <c r="D78" s="1024"/>
      <c r="E78" s="1007" t="e">
        <f>(E56*I56+E60*I60+E63*I63+E71*I71)/I78</f>
        <v>#DIV/0!</v>
      </c>
      <c r="F78" s="1510" t="e">
        <f>J78/I78</f>
        <v>#DIV/0!</v>
      </c>
      <c r="G78" s="1510"/>
      <c r="H78" s="1008"/>
      <c r="I78" s="1025">
        <f>SUM(I51:I72)/2</f>
        <v>0</v>
      </c>
      <c r="J78" s="1026">
        <f>SUM(J51:J72)/2</f>
        <v>0</v>
      </c>
      <c r="K78" s="1435"/>
      <c r="L78" s="1436"/>
      <c r="N78" s="1448" t="e">
        <f>I78/K85</f>
        <v>#DIV/0!</v>
      </c>
      <c r="O78" s="1448" t="e">
        <f>J78/L85</f>
        <v>#DIV/0!</v>
      </c>
    </row>
    <row r="79" spans="1:18" ht="14" customHeight="1" x14ac:dyDescent="0.15">
      <c r="A79" s="631" t="s">
        <v>698</v>
      </c>
      <c r="I79" s="1445"/>
      <c r="J79" s="1446"/>
      <c r="K79" s="5"/>
      <c r="L79" s="5"/>
    </row>
    <row r="80" spans="1:18" s="22" customFormat="1" ht="14" customHeight="1" x14ac:dyDescent="0.15">
      <c r="A80" s="61"/>
      <c r="B80" s="98" t="s">
        <v>441</v>
      </c>
      <c r="F80" s="1508">
        <v>10</v>
      </c>
      <c r="G80" s="1508"/>
      <c r="I80" s="988">
        <f>Q!L32</f>
        <v>0</v>
      </c>
      <c r="J80" s="938">
        <f>F80*I80</f>
        <v>0</v>
      </c>
      <c r="L80" s="523"/>
      <c r="N80" s="1448" t="e">
        <f>I80/K85</f>
        <v>#DIV/0!</v>
      </c>
      <c r="O80" s="1448" t="e">
        <f>J80/L85</f>
        <v>#DIV/0!</v>
      </c>
    </row>
    <row r="81" spans="1:16" s="22" customFormat="1" ht="14" customHeight="1" x14ac:dyDescent="0.15">
      <c r="A81" s="60"/>
      <c r="B81" s="97" t="s">
        <v>458</v>
      </c>
      <c r="C81" s="984"/>
      <c r="F81" s="1508">
        <v>10</v>
      </c>
      <c r="G81" s="1508"/>
      <c r="I81" s="988">
        <f>Q!M32</f>
        <v>0</v>
      </c>
      <c r="J81" s="938">
        <f>F81*I81</f>
        <v>0</v>
      </c>
      <c r="L81" s="523"/>
      <c r="N81" s="1448" t="e">
        <f>I81/K85</f>
        <v>#DIV/0!</v>
      </c>
      <c r="O81" s="1448" t="e">
        <f>J81/L85</f>
        <v>#DIV/0!</v>
      </c>
    </row>
    <row r="82" spans="1:16" s="33" customFormat="1" ht="14" customHeight="1" x14ac:dyDescent="0.15">
      <c r="A82" s="104"/>
      <c r="B82" s="104" t="s">
        <v>684</v>
      </c>
      <c r="C82" s="1024"/>
      <c r="D82" s="1024"/>
      <c r="E82" s="1422"/>
      <c r="F82" s="1422"/>
      <c r="G82" s="1422"/>
      <c r="H82" s="1422"/>
      <c r="I82" s="1430" t="e">
        <f>J82/J78</f>
        <v>#DIV/0!</v>
      </c>
      <c r="J82" s="1026">
        <f>SUM(J80:J81)</f>
        <v>0</v>
      </c>
      <c r="K82" s="1026"/>
      <c r="L82" s="1026">
        <f>J82</f>
        <v>0</v>
      </c>
      <c r="N82" s="1448" t="e">
        <f>N78</f>
        <v>#DIV/0!</v>
      </c>
      <c r="O82" s="1448" t="e">
        <f>J82/L85</f>
        <v>#DIV/0!</v>
      </c>
    </row>
    <row r="83" spans="1:16" ht="14" customHeight="1" x14ac:dyDescent="0.15">
      <c r="A83" s="1426"/>
      <c r="B83" s="1426"/>
      <c r="C83" s="1427"/>
      <c r="H83" s="20" t="s">
        <v>704</v>
      </c>
      <c r="I83" s="1431" t="e">
        <f>-J83/J78</f>
        <v>#DIV/0!</v>
      </c>
      <c r="J83" s="1428">
        <f>J82-J78</f>
        <v>0</v>
      </c>
      <c r="M83" s="22"/>
    </row>
    <row r="84" spans="1:16" ht="14" customHeight="1" x14ac:dyDescent="0.15">
      <c r="A84" s="1004"/>
      <c r="B84" s="1004"/>
      <c r="C84" s="1005"/>
      <c r="D84" s="1005"/>
      <c r="E84" s="759"/>
      <c r="F84" s="990"/>
      <c r="G84" s="1006"/>
      <c r="H84" s="231"/>
      <c r="I84" s="988"/>
      <c r="J84" s="988"/>
      <c r="K84" s="938"/>
      <c r="L84" s="938"/>
      <c r="M84" s="6"/>
      <c r="P84" s="10"/>
    </row>
    <row r="85" spans="1:16" s="22" customFormat="1" ht="14" customHeight="1" x14ac:dyDescent="0.15">
      <c r="A85" s="8"/>
      <c r="B85" s="8" t="s">
        <v>685</v>
      </c>
      <c r="C85" s="1027"/>
      <c r="D85" s="1027"/>
      <c r="E85" s="1028"/>
      <c r="F85" s="1515"/>
      <c r="G85" s="1515"/>
      <c r="H85" s="1029"/>
      <c r="I85" s="1440"/>
      <c r="J85" s="1440"/>
      <c r="K85" s="1440">
        <f>K73+I78</f>
        <v>0</v>
      </c>
      <c r="L85" s="1432">
        <f>SUM(J82,L76)</f>
        <v>0</v>
      </c>
      <c r="N85" s="1448" t="e">
        <f>K85/K85</f>
        <v>#DIV/0!</v>
      </c>
      <c r="O85" s="1448" t="e">
        <f>L85/L85</f>
        <v>#DIV/0!</v>
      </c>
      <c r="P85" s="1449" t="e">
        <f>L85/D4</f>
        <v>#DIV/0!</v>
      </c>
    </row>
    <row r="86" spans="1:16" s="22" customFormat="1" ht="14" customHeight="1" x14ac:dyDescent="0.15">
      <c r="A86" s="43"/>
      <c r="B86" s="42"/>
      <c r="C86" s="28"/>
      <c r="D86" s="28"/>
      <c r="E86" s="28"/>
      <c r="I86" s="46"/>
      <c r="J86" s="42"/>
      <c r="K86" s="523"/>
      <c r="L86" s="42"/>
      <c r="M86" s="28"/>
    </row>
    <row r="87" spans="1:16" s="22" customFormat="1" ht="14" customHeight="1" x14ac:dyDescent="0.15">
      <c r="A87" s="8"/>
      <c r="B87" s="8" t="s">
        <v>193</v>
      </c>
      <c r="C87" s="44"/>
      <c r="D87" s="100"/>
      <c r="E87" s="101"/>
      <c r="F87" s="56"/>
      <c r="G87" s="44"/>
      <c r="H87" s="44"/>
      <c r="I87" s="44"/>
      <c r="J87" s="8"/>
      <c r="K87" s="1432"/>
      <c r="L87" s="1432">
        <f>L85-L31</f>
        <v>0</v>
      </c>
      <c r="P87" s="1449" t="e">
        <f>L87/D4</f>
        <v>#DIV/0!</v>
      </c>
    </row>
    <row r="88" spans="1:16" s="2" customFormat="1" ht="14" customHeight="1" x14ac:dyDescent="0.15">
      <c r="A88" s="412"/>
      <c r="B88" s="417" t="s">
        <v>209</v>
      </c>
      <c r="C88" s="413"/>
      <c r="D88" s="414"/>
      <c r="E88" s="415"/>
      <c r="F88" s="413"/>
      <c r="G88" s="413"/>
      <c r="H88" s="413"/>
      <c r="I88" s="416"/>
      <c r="J88" s="417"/>
      <c r="K88" s="1433"/>
      <c r="L88" s="1433" t="e">
        <f>L87/L31</f>
        <v>#DIV/0!</v>
      </c>
      <c r="N88"/>
      <c r="O88"/>
      <c r="P88"/>
    </row>
    <row r="89" spans="1:16" s="22" customFormat="1" ht="14" customHeight="1" x14ac:dyDescent="0.15">
      <c r="A89" s="43"/>
      <c r="B89" s="43"/>
      <c r="C89" s="28"/>
      <c r="D89" s="28"/>
      <c r="E89" s="28"/>
      <c r="I89" s="46"/>
      <c r="J89" s="42"/>
      <c r="K89" s="420"/>
      <c r="L89" s="6"/>
      <c r="M89" s="28"/>
      <c r="N89" s="6"/>
      <c r="O89" s="6"/>
      <c r="P89" s="6"/>
    </row>
    <row r="90" spans="1:16" s="420" customFormat="1" ht="14" customHeight="1" x14ac:dyDescent="0.15">
      <c r="A90" s="419"/>
      <c r="B90" s="419"/>
      <c r="E90" s="422"/>
      <c r="I90" s="423"/>
      <c r="L90" s="753"/>
      <c r="N90" s="6"/>
      <c r="O90" s="6"/>
      <c r="P90" s="6"/>
    </row>
    <row r="91" spans="1:16" ht="14" customHeight="1" x14ac:dyDescent="0.15">
      <c r="A91" s="64" t="s">
        <v>153</v>
      </c>
      <c r="B91" s="6"/>
      <c r="C91" s="6"/>
      <c r="D91" s="6"/>
      <c r="G91" s="6"/>
      <c r="H91" s="6"/>
      <c r="I91" s="6"/>
      <c r="J91" s="6"/>
      <c r="M91" s="6"/>
    </row>
    <row r="92" spans="1:16" customFormat="1" ht="13" x14ac:dyDescent="0.15">
      <c r="A92" s="230" t="s">
        <v>154</v>
      </c>
      <c r="B92" s="17"/>
      <c r="C92" s="5"/>
      <c r="D92" s="5"/>
      <c r="E92" s="227"/>
      <c r="F92" s="227"/>
      <c r="G92" s="5"/>
      <c r="H92" s="5"/>
      <c r="I92" s="5"/>
      <c r="J92" s="5"/>
      <c r="K92" s="65"/>
      <c r="L92" s="65"/>
      <c r="M92" s="5"/>
    </row>
    <row r="93" spans="1:16" ht="14" customHeight="1" x14ac:dyDescent="0.15">
      <c r="A93" s="53" t="s">
        <v>237</v>
      </c>
      <c r="B93" s="6"/>
      <c r="C93" s="6"/>
      <c r="D93" s="6"/>
      <c r="G93" s="6"/>
      <c r="H93" s="6"/>
      <c r="I93" s="6"/>
      <c r="J93" s="6"/>
      <c r="M93" s="6"/>
    </row>
    <row r="94" spans="1:16" ht="14" customHeight="1" x14ac:dyDescent="0.15">
      <c r="A94" s="53" t="s">
        <v>49</v>
      </c>
      <c r="B94" s="6"/>
      <c r="C94" s="6"/>
      <c r="D94" s="6"/>
      <c r="G94" s="6"/>
      <c r="H94" s="6"/>
      <c r="I94" s="6"/>
      <c r="J94" s="6"/>
      <c r="M94" s="6"/>
    </row>
    <row r="95" spans="1:16" ht="14" customHeight="1" x14ac:dyDescent="0.15">
      <c r="A95" s="53" t="s">
        <v>45</v>
      </c>
      <c r="B95" s="6"/>
      <c r="C95" s="6"/>
      <c r="D95" s="6"/>
      <c r="G95" s="6"/>
      <c r="H95" s="6"/>
      <c r="I95" s="6"/>
      <c r="J95" s="6"/>
      <c r="M95" s="6"/>
    </row>
    <row r="96" spans="1:16" ht="14" customHeight="1" x14ac:dyDescent="0.15">
      <c r="A96" s="53" t="s">
        <v>192</v>
      </c>
    </row>
    <row r="97" spans="1:3" ht="14" customHeight="1" x14ac:dyDescent="0.15">
      <c r="A97" s="53" t="s">
        <v>452</v>
      </c>
    </row>
    <row r="101" spans="1:3" ht="14" customHeight="1" x14ac:dyDescent="0.15">
      <c r="C101" s="140" t="s">
        <v>185</v>
      </c>
    </row>
    <row r="102" spans="1:3" ht="14" customHeight="1" x14ac:dyDescent="0.15">
      <c r="C102" s="756" t="s">
        <v>55</v>
      </c>
    </row>
    <row r="103" spans="1:3" ht="14" customHeight="1" x14ac:dyDescent="0.15">
      <c r="C103" s="756" t="s">
        <v>54</v>
      </c>
    </row>
    <row r="104" spans="1:3" ht="14" customHeight="1" x14ac:dyDescent="0.15">
      <c r="C104" s="756" t="s">
        <v>57</v>
      </c>
    </row>
    <row r="105" spans="1:3" ht="14" customHeight="1" x14ac:dyDescent="0.15">
      <c r="C105" s="756" t="s">
        <v>58</v>
      </c>
    </row>
    <row r="106" spans="1:3" ht="14" customHeight="1" x14ac:dyDescent="0.15">
      <c r="C106" s="756" t="s">
        <v>65</v>
      </c>
    </row>
    <row r="107" spans="1:3" ht="14" customHeight="1" x14ac:dyDescent="0.15">
      <c r="C107" s="756" t="s">
        <v>56</v>
      </c>
    </row>
    <row r="108" spans="1:3" ht="14" customHeight="1" x14ac:dyDescent="0.15">
      <c r="C108" s="756" t="s">
        <v>183</v>
      </c>
    </row>
    <row r="109" spans="1:3" ht="14" customHeight="1" x14ac:dyDescent="0.15">
      <c r="C109" s="756" t="s">
        <v>184</v>
      </c>
    </row>
    <row r="110" spans="1:3" ht="14" customHeight="1" x14ac:dyDescent="0.15">
      <c r="C110" s="756" t="s">
        <v>182</v>
      </c>
    </row>
    <row r="111" spans="1:3" ht="14" customHeight="1" x14ac:dyDescent="0.15">
      <c r="C111" s="756" t="str">
        <f>C112</f>
        <v xml:space="preserve">Small-scale livelihoods, residential </v>
      </c>
    </row>
    <row r="112" spans="1:3" ht="14" customHeight="1" x14ac:dyDescent="0.15">
      <c r="C112" s="756" t="s">
        <v>440</v>
      </c>
    </row>
    <row r="113" spans="1:13" ht="14" customHeight="1" x14ac:dyDescent="0.15">
      <c r="C113" s="757" t="s">
        <v>78</v>
      </c>
    </row>
    <row r="115" spans="1:13" ht="14" customHeight="1" x14ac:dyDescent="0.15">
      <c r="A115" s="29"/>
      <c r="B115" s="1414" t="s">
        <v>77</v>
      </c>
      <c r="C115" s="6"/>
      <c r="D115" s="6"/>
      <c r="E115" s="821"/>
      <c r="F115" s="821"/>
      <c r="G115" s="821"/>
      <c r="H115" s="821"/>
      <c r="I115" s="821"/>
      <c r="J115" s="821"/>
      <c r="K115" s="6"/>
      <c r="L115" s="6"/>
      <c r="M115" s="6"/>
    </row>
    <row r="116" spans="1:13" ht="14" customHeight="1" x14ac:dyDescent="0.15">
      <c r="A116" s="29"/>
      <c r="B116" s="1414" t="s">
        <v>76</v>
      </c>
      <c r="C116" s="6"/>
      <c r="D116" s="6"/>
      <c r="E116" s="821"/>
      <c r="F116" s="821"/>
      <c r="G116" s="821"/>
      <c r="H116" s="821"/>
      <c r="I116" s="821"/>
      <c r="J116" s="821"/>
      <c r="K116" s="6"/>
      <c r="L116" s="6"/>
      <c r="M116" s="6"/>
    </row>
  </sheetData>
  <sheetProtection selectLockedCells="1"/>
  <mergeCells count="109">
    <mergeCell ref="L33:L43"/>
    <mergeCell ref="F78:G78"/>
    <mergeCell ref="F85:G85"/>
    <mergeCell ref="F80:G80"/>
    <mergeCell ref="F81:G81"/>
    <mergeCell ref="F73:G73"/>
    <mergeCell ref="F58:G58"/>
    <mergeCell ref="F59:G59"/>
    <mergeCell ref="F60:G60"/>
    <mergeCell ref="F61:G61"/>
    <mergeCell ref="F62:G62"/>
    <mergeCell ref="F63:G63"/>
    <mergeCell ref="R64:R70"/>
    <mergeCell ref="F67:G67"/>
    <mergeCell ref="F68:G68"/>
    <mergeCell ref="F70:G70"/>
    <mergeCell ref="F71:G71"/>
    <mergeCell ref="F76:G76"/>
    <mergeCell ref="P64:Q64"/>
    <mergeCell ref="F66:G66"/>
    <mergeCell ref="F65:G65"/>
    <mergeCell ref="C70:D70"/>
    <mergeCell ref="C68:D68"/>
    <mergeCell ref="C67:D67"/>
    <mergeCell ref="C59:D59"/>
    <mergeCell ref="C58:D58"/>
    <mergeCell ref="C57:D57"/>
    <mergeCell ref="A65:B65"/>
    <mergeCell ref="C66:D66"/>
    <mergeCell ref="C55:D55"/>
    <mergeCell ref="C62:D62"/>
    <mergeCell ref="C61:D61"/>
    <mergeCell ref="E26:F26"/>
    <mergeCell ref="E25:F25"/>
    <mergeCell ref="E27:F27"/>
    <mergeCell ref="F56:G56"/>
    <mergeCell ref="F57:G57"/>
    <mergeCell ref="E43:F43"/>
    <mergeCell ref="E42:F42"/>
    <mergeCell ref="E41:F41"/>
    <mergeCell ref="E40:F40"/>
    <mergeCell ref="E39:F39"/>
    <mergeCell ref="E35:F35"/>
    <mergeCell ref="E38:F38"/>
    <mergeCell ref="E37:F37"/>
    <mergeCell ref="E36:F36"/>
    <mergeCell ref="E31:F31"/>
    <mergeCell ref="F52:G52"/>
    <mergeCell ref="E29:F29"/>
    <mergeCell ref="G40:H40"/>
    <mergeCell ref="G41:H41"/>
    <mergeCell ref="E20:F20"/>
    <mergeCell ref="E19:F19"/>
    <mergeCell ref="E18:F18"/>
    <mergeCell ref="E17:F17"/>
    <mergeCell ref="E16:F16"/>
    <mergeCell ref="E14:F14"/>
    <mergeCell ref="E13:F13"/>
    <mergeCell ref="E12:F12"/>
    <mergeCell ref="E15:F15"/>
    <mergeCell ref="C37:D37"/>
    <mergeCell ref="C50:D50"/>
    <mergeCell ref="F53:G53"/>
    <mergeCell ref="F54:G54"/>
    <mergeCell ref="F55:G55"/>
    <mergeCell ref="G35:H35"/>
    <mergeCell ref="G36:H36"/>
    <mergeCell ref="G37:H37"/>
    <mergeCell ref="G38:H38"/>
    <mergeCell ref="G39:H39"/>
    <mergeCell ref="F50:G50"/>
    <mergeCell ref="C54:D54"/>
    <mergeCell ref="C53:D53"/>
    <mergeCell ref="C52:D52"/>
    <mergeCell ref="E2:F2"/>
    <mergeCell ref="E3:F3"/>
    <mergeCell ref="E4:F4"/>
    <mergeCell ref="E5:F5"/>
    <mergeCell ref="E6:F6"/>
    <mergeCell ref="G42:H42"/>
    <mergeCell ref="G43:H43"/>
    <mergeCell ref="G26:H26"/>
    <mergeCell ref="G27:H27"/>
    <mergeCell ref="G28:H28"/>
    <mergeCell ref="G2:H2"/>
    <mergeCell ref="G3:H3"/>
    <mergeCell ref="G4:H4"/>
    <mergeCell ref="G5:H5"/>
    <mergeCell ref="G15:H15"/>
    <mergeCell ref="G19:H19"/>
    <mergeCell ref="G29:H29"/>
    <mergeCell ref="E10:F10"/>
    <mergeCell ref="E8:F8"/>
    <mergeCell ref="E9:F9"/>
    <mergeCell ref="E24:F24"/>
    <mergeCell ref="E23:F23"/>
    <mergeCell ref="E22:F22"/>
    <mergeCell ref="E28:F28"/>
    <mergeCell ref="E11:F11"/>
    <mergeCell ref="G11:H11"/>
    <mergeCell ref="G8:H8"/>
    <mergeCell ref="G9:H9"/>
    <mergeCell ref="G10:H10"/>
    <mergeCell ref="G16:H16"/>
    <mergeCell ref="G17:H17"/>
    <mergeCell ref="G18:H18"/>
    <mergeCell ref="G12:H12"/>
    <mergeCell ref="G13:H13"/>
    <mergeCell ref="G14:H14"/>
  </mergeCells>
  <printOptions headings="1"/>
  <pageMargins left="0.7" right="0.7" top="0.75" bottom="0.75" header="0.3" footer="0.3"/>
  <pageSetup paperSize="9" scale="73" fitToWidth="0" fitToHeight="5" orientation="landscape" horizontalDpi="4294967292" verticalDpi="4294967292" r:id="rId1"/>
  <headerFooter>
    <oddHeader>&amp;R&amp;K000000&amp;A
Page &amp;P of &amp;N</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BB0A4-CFA6-5D49-996B-D782614A9610}">
  <sheetPr>
    <tabColor theme="6" tint="0.39997558519241921"/>
  </sheetPr>
  <dimension ref="A1:P41"/>
  <sheetViews>
    <sheetView zoomScale="200" zoomScaleNormal="200" workbookViewId="0">
      <selection activeCell="B3" sqref="B3"/>
    </sheetView>
  </sheetViews>
  <sheetFormatPr baseColWidth="10" defaultColWidth="10.6640625" defaultRowHeight="14" customHeight="1" x14ac:dyDescent="0.15"/>
  <cols>
    <col min="1" max="1" width="35.33203125" style="17" customWidth="1"/>
    <col min="2" max="9" width="12.83203125" style="26" customWidth="1"/>
    <col min="10" max="10" width="1.33203125" style="6" customWidth="1"/>
    <col min="11" max="11" width="16.33203125" style="6" bestFit="1" customWidth="1"/>
    <col min="12" max="16384" width="10.6640625" style="6"/>
  </cols>
  <sheetData>
    <row r="1" spans="1:13" s="2" customFormat="1" ht="14" customHeight="1" x14ac:dyDescent="0.15">
      <c r="A1" s="23" t="s">
        <v>198</v>
      </c>
      <c r="B1" s="27"/>
      <c r="C1" s="27"/>
      <c r="D1" s="27"/>
      <c r="E1" s="27"/>
      <c r="F1" s="27"/>
      <c r="G1" s="131"/>
      <c r="I1" s="77"/>
    </row>
    <row r="2" spans="1:13" s="173" customFormat="1" ht="14" customHeight="1" thickBot="1" x14ac:dyDescent="0.2">
      <c r="A2" s="17"/>
      <c r="B2" s="26"/>
      <c r="C2" s="26"/>
      <c r="D2" s="174"/>
      <c r="E2" s="174"/>
      <c r="F2" s="174"/>
      <c r="G2" s="174"/>
      <c r="H2" s="33"/>
      <c r="I2" s="33"/>
      <c r="J2" s="33"/>
    </row>
    <row r="3" spans="1:13" s="173" customFormat="1" ht="14" customHeight="1" thickBot="1" x14ac:dyDescent="0.2">
      <c r="A3" s="183" t="s">
        <v>82</v>
      </c>
      <c r="B3" s="182">
        <f>Q!C45</f>
        <v>0</v>
      </c>
      <c r="C3" s="252" t="s">
        <v>211</v>
      </c>
      <c r="D3" s="57"/>
      <c r="E3" s="57"/>
      <c r="F3" s="57"/>
      <c r="G3" s="57"/>
    </row>
    <row r="4" spans="1:13" s="173" customFormat="1" ht="14" customHeight="1" x14ac:dyDescent="0.15">
      <c r="A4" s="17"/>
      <c r="B4" s="26"/>
      <c r="C4" s="26"/>
      <c r="D4" s="174"/>
      <c r="E4" s="174"/>
      <c r="F4" s="174"/>
      <c r="G4" s="174"/>
      <c r="H4" s="22"/>
      <c r="I4" s="22"/>
      <c r="J4" s="22"/>
    </row>
    <row r="5" spans="1:13" s="48" customFormat="1" ht="26" x14ac:dyDescent="0.15">
      <c r="A5" s="233" t="s">
        <v>216</v>
      </c>
      <c r="B5" s="267" t="s">
        <v>0</v>
      </c>
      <c r="C5" s="268" t="s">
        <v>47</v>
      </c>
      <c r="D5" s="247" t="s">
        <v>5</v>
      </c>
      <c r="E5" s="269" t="s">
        <v>2</v>
      </c>
      <c r="F5" s="269" t="s">
        <v>3</v>
      </c>
      <c r="G5" s="247" t="s">
        <v>125</v>
      </c>
      <c r="H5" s="270" t="s">
        <v>31</v>
      </c>
      <c r="I5" s="247" t="s">
        <v>126</v>
      </c>
    </row>
    <row r="6" spans="1:13" s="173" customFormat="1" ht="14" customHeight="1" x14ac:dyDescent="0.15">
      <c r="A6" s="53" t="s">
        <v>436</v>
      </c>
      <c r="B6" s="1037"/>
      <c r="C6" s="1038"/>
      <c r="D6" s="1039"/>
      <c r="E6" s="1040"/>
      <c r="F6" s="1040"/>
      <c r="G6" s="1041"/>
      <c r="H6" s="1042"/>
      <c r="I6" s="1041"/>
      <c r="J6" s="10"/>
    </row>
    <row r="7" spans="1:13" s="173" customFormat="1" ht="14" customHeight="1" x14ac:dyDescent="0.15">
      <c r="A7" s="94" t="s">
        <v>530</v>
      </c>
      <c r="B7" s="1043">
        <f>'2neighborhood'!F55</f>
        <v>90</v>
      </c>
      <c r="C7" s="1044">
        <f>Q!G45</f>
        <v>0</v>
      </c>
      <c r="D7" s="1045">
        <f>B7*C7</f>
        <v>0</v>
      </c>
      <c r="E7" s="1417">
        <f t="shared" ref="E7:F9" si="0">E8</f>
        <v>0</v>
      </c>
      <c r="F7" s="1415">
        <f t="shared" si="0"/>
        <v>0.05</v>
      </c>
      <c r="G7" s="1416">
        <f t="shared" ref="G7:G16" si="1">D7*(1+E7)*(1+F7)</f>
        <v>0</v>
      </c>
      <c r="H7" s="1415">
        <f>H10</f>
        <v>0.1</v>
      </c>
      <c r="I7" s="1416">
        <f t="shared" ref="I7" si="2">G7*(1+H7)</f>
        <v>0</v>
      </c>
    </row>
    <row r="8" spans="1:13" s="173" customFormat="1" ht="14" customHeight="1" x14ac:dyDescent="0.15">
      <c r="A8" s="94" t="s">
        <v>531</v>
      </c>
      <c r="B8" s="648">
        <v>0.5</v>
      </c>
      <c r="C8" s="1037"/>
      <c r="D8" s="1045">
        <f>-D7*B8</f>
        <v>0</v>
      </c>
      <c r="E8" s="1417">
        <f t="shared" si="0"/>
        <v>0</v>
      </c>
      <c r="F8" s="1415">
        <f t="shared" si="0"/>
        <v>0.05</v>
      </c>
      <c r="G8" s="1416">
        <f t="shared" si="1"/>
        <v>0</v>
      </c>
      <c r="H8" s="1415">
        <f>H10</f>
        <v>0.1</v>
      </c>
      <c r="I8" s="1416">
        <f t="shared" ref="I8" si="3">G8*(1+H8)</f>
        <v>0</v>
      </c>
    </row>
    <row r="9" spans="1:13" s="173" customFormat="1" ht="14" customHeight="1" x14ac:dyDescent="0.15">
      <c r="A9" s="76" t="s">
        <v>180</v>
      </c>
      <c r="B9" s="1043">
        <f>'2neighborhood'!F66</f>
        <v>30</v>
      </c>
      <c r="C9" s="1044">
        <f>Q!O26</f>
        <v>0</v>
      </c>
      <c r="D9" s="1045">
        <f>B9*C9</f>
        <v>0</v>
      </c>
      <c r="E9" s="1417">
        <f t="shared" si="0"/>
        <v>0</v>
      </c>
      <c r="F9" s="1415">
        <f t="shared" si="0"/>
        <v>0.05</v>
      </c>
      <c r="G9" s="1416">
        <f t="shared" si="1"/>
        <v>0</v>
      </c>
      <c r="H9" s="1415">
        <f>H10</f>
        <v>0.1</v>
      </c>
      <c r="I9" s="1416">
        <f t="shared" ref="I9" si="4">G9*(1+H9)</f>
        <v>0</v>
      </c>
    </row>
    <row r="10" spans="1:13" s="10" customFormat="1" ht="14" customHeight="1" x14ac:dyDescent="0.15">
      <c r="A10" s="112" t="s">
        <v>135</v>
      </c>
      <c r="B10" s="1046"/>
      <c r="C10" s="1046"/>
      <c r="D10" s="829">
        <f>SUM(D7:D9)</f>
        <v>0</v>
      </c>
      <c r="E10" s="1047">
        <v>0</v>
      </c>
      <c r="F10" s="1047">
        <v>0.05</v>
      </c>
      <c r="G10" s="829">
        <f t="shared" si="1"/>
        <v>0</v>
      </c>
      <c r="H10" s="172">
        <v>0.1</v>
      </c>
      <c r="I10" s="829">
        <f t="shared" ref="I10:I11" si="5">G10*(1+H10)</f>
        <v>0</v>
      </c>
      <c r="K10" s="702" t="e">
        <f>I10/SUM(C6:C10)*10000</f>
        <v>#DIV/0!</v>
      </c>
      <c r="M10" s="1421"/>
    </row>
    <row r="11" spans="1:13" ht="14" customHeight="1" x14ac:dyDescent="0.15">
      <c r="A11" s="111" t="s">
        <v>85</v>
      </c>
      <c r="B11" s="1048">
        <v>500</v>
      </c>
      <c r="C11" s="1049">
        <f>Q!D45</f>
        <v>0</v>
      </c>
      <c r="D11" s="1045">
        <f>B11*C11</f>
        <v>0</v>
      </c>
      <c r="E11" s="1417">
        <f t="shared" ref="E11:F15" si="6">E12</f>
        <v>0.1</v>
      </c>
      <c r="F11" s="1415">
        <f t="shared" si="6"/>
        <v>0.12</v>
      </c>
      <c r="G11" s="1416">
        <f t="shared" si="1"/>
        <v>0</v>
      </c>
      <c r="H11" s="1415">
        <f>H10</f>
        <v>0.1</v>
      </c>
      <c r="I11" s="1416">
        <f t="shared" si="5"/>
        <v>0</v>
      </c>
      <c r="M11" s="1421"/>
    </row>
    <row r="12" spans="1:13" ht="14" customHeight="1" x14ac:dyDescent="0.15">
      <c r="A12" s="111" t="s">
        <v>141</v>
      </c>
      <c r="B12" s="1050">
        <v>200</v>
      </c>
      <c r="C12" s="1051">
        <f>Q!X26</f>
        <v>0</v>
      </c>
      <c r="D12" s="1045">
        <f>B12*C12</f>
        <v>0</v>
      </c>
      <c r="E12" s="1417">
        <f t="shared" si="6"/>
        <v>0.1</v>
      </c>
      <c r="F12" s="1415">
        <f t="shared" si="6"/>
        <v>0.12</v>
      </c>
      <c r="G12" s="1416">
        <f t="shared" si="1"/>
        <v>0</v>
      </c>
      <c r="H12" s="1415">
        <f>H10</f>
        <v>0.1</v>
      </c>
      <c r="I12" s="1416">
        <f t="shared" ref="I12" si="7">G12*(1+H12)</f>
        <v>0</v>
      </c>
      <c r="M12" s="1421"/>
    </row>
    <row r="13" spans="1:13" s="173" customFormat="1" ht="14" customHeight="1" x14ac:dyDescent="0.15">
      <c r="A13" s="98" t="s">
        <v>84</v>
      </c>
      <c r="B13" s="1052">
        <v>20</v>
      </c>
      <c r="C13" s="1044">
        <f>Q!I45</f>
        <v>0</v>
      </c>
      <c r="D13" s="1045">
        <f>B13*C13</f>
        <v>0</v>
      </c>
      <c r="E13" s="1417">
        <f t="shared" si="6"/>
        <v>0.1</v>
      </c>
      <c r="F13" s="1415">
        <f t="shared" si="6"/>
        <v>0.12</v>
      </c>
      <c r="G13" s="1416">
        <f t="shared" si="1"/>
        <v>0</v>
      </c>
      <c r="H13" s="1415">
        <f>H10</f>
        <v>0.1</v>
      </c>
      <c r="I13" s="1416">
        <f t="shared" ref="I13" si="8">G13*(1+H13)</f>
        <v>0</v>
      </c>
      <c r="M13" s="1421"/>
    </row>
    <row r="14" spans="1:13" s="173" customFormat="1" ht="14" customHeight="1" x14ac:dyDescent="0.15">
      <c r="A14" s="97" t="s">
        <v>83</v>
      </c>
      <c r="B14" s="1038"/>
      <c r="C14" s="1053" t="s">
        <v>457</v>
      </c>
      <c r="D14" s="1054">
        <v>0</v>
      </c>
      <c r="E14" s="1417">
        <f t="shared" si="6"/>
        <v>0.1</v>
      </c>
      <c r="F14" s="1415">
        <f t="shared" si="6"/>
        <v>0.12</v>
      </c>
      <c r="G14" s="1416">
        <f t="shared" si="1"/>
        <v>0</v>
      </c>
      <c r="H14" s="1415">
        <f>H10</f>
        <v>0.1</v>
      </c>
      <c r="I14" s="1416">
        <f t="shared" ref="I14" si="9">G14*(1+H14)</f>
        <v>0</v>
      </c>
      <c r="M14" s="1421"/>
    </row>
    <row r="15" spans="1:13" s="173" customFormat="1" ht="14" customHeight="1" x14ac:dyDescent="0.15">
      <c r="A15" s="90" t="s">
        <v>87</v>
      </c>
      <c r="B15" s="1037"/>
      <c r="C15" s="1037"/>
      <c r="D15" s="1054">
        <v>0</v>
      </c>
      <c r="E15" s="1417">
        <f t="shared" si="6"/>
        <v>0.1</v>
      </c>
      <c r="F15" s="1415">
        <f t="shared" si="6"/>
        <v>0.12</v>
      </c>
      <c r="G15" s="1416">
        <f t="shared" si="1"/>
        <v>0</v>
      </c>
      <c r="H15" s="1415">
        <f>H10</f>
        <v>0.1</v>
      </c>
      <c r="I15" s="1416">
        <f t="shared" ref="I15" si="10">G15*(1+H15)</f>
        <v>0</v>
      </c>
      <c r="M15" s="1421"/>
    </row>
    <row r="16" spans="1:13" s="10" customFormat="1" ht="14" customHeight="1" x14ac:dyDescent="0.15">
      <c r="A16" s="112" t="s">
        <v>88</v>
      </c>
      <c r="B16" s="1046"/>
      <c r="C16" s="1046"/>
      <c r="D16" s="829">
        <f>SUM(D11:D15)</f>
        <v>0</v>
      </c>
      <c r="E16" s="1055">
        <v>0.1</v>
      </c>
      <c r="F16" s="1055">
        <v>0.12</v>
      </c>
      <c r="G16" s="829">
        <f t="shared" si="1"/>
        <v>0</v>
      </c>
      <c r="H16" s="1056">
        <f>H10</f>
        <v>0.1</v>
      </c>
      <c r="I16" s="829">
        <f>G16*(1+H16)</f>
        <v>0</v>
      </c>
      <c r="K16" s="702" t="e">
        <f>I16/SUM(C6:C10)*10000</f>
        <v>#DIV/0!</v>
      </c>
      <c r="M16" s="1421"/>
    </row>
    <row r="17" spans="1:16" s="33" customFormat="1" ht="14" customHeight="1" x14ac:dyDescent="0.15">
      <c r="A17" s="239" t="s">
        <v>206</v>
      </c>
      <c r="B17" s="239"/>
      <c r="C17" s="1057"/>
      <c r="D17" s="830">
        <f>D16+D10</f>
        <v>0</v>
      </c>
      <c r="E17" s="243"/>
      <c r="F17" s="243"/>
      <c r="G17" s="830">
        <f>G16+G10</f>
        <v>0</v>
      </c>
      <c r="H17" s="243"/>
      <c r="I17" s="830">
        <f>I16+I10</f>
        <v>0</v>
      </c>
      <c r="K17" s="702" t="e">
        <f>I17/SUM(C6:C10)*10000</f>
        <v>#DIV/0!</v>
      </c>
    </row>
    <row r="18" spans="1:16" s="173" customFormat="1" ht="14" customHeight="1" x14ac:dyDescent="0.15">
      <c r="A18" s="17"/>
      <c r="B18" s="26"/>
      <c r="C18" s="26"/>
      <c r="D18" s="174"/>
      <c r="E18" s="174"/>
      <c r="F18" s="174"/>
      <c r="G18" s="174"/>
      <c r="H18" s="22"/>
      <c r="I18" s="831"/>
    </row>
    <row r="19" spans="1:16" s="1" customFormat="1" ht="29" customHeight="1" x14ac:dyDescent="0.15">
      <c r="A19" s="248" t="s">
        <v>215</v>
      </c>
      <c r="B19" s="249" t="s">
        <v>210</v>
      </c>
      <c r="C19" s="1518" t="s">
        <v>527</v>
      </c>
      <c r="D19" s="1518"/>
      <c r="E19" s="1518"/>
      <c r="F19" s="250" t="s">
        <v>53</v>
      </c>
      <c r="G19" s="249" t="s">
        <v>203</v>
      </c>
      <c r="H19" s="249" t="s">
        <v>454</v>
      </c>
      <c r="I19" s="833" t="s">
        <v>204</v>
      </c>
    </row>
    <row r="20" spans="1:16" s="173" customFormat="1" ht="14" customHeight="1" x14ac:dyDescent="0.15">
      <c r="A20" s="53" t="s">
        <v>436</v>
      </c>
      <c r="B20" s="1037"/>
      <c r="C20" s="1038"/>
      <c r="D20" s="1039"/>
      <c r="E20" s="1040"/>
      <c r="F20" s="1040"/>
      <c r="G20" s="1041"/>
      <c r="H20" s="1042"/>
      <c r="I20" s="1041"/>
      <c r="J20" s="10"/>
    </row>
    <row r="21" spans="1:16" s="173" customFormat="1" ht="14" customHeight="1" x14ac:dyDescent="0.15">
      <c r="A21" s="111" t="s">
        <v>199</v>
      </c>
      <c r="B21" s="1058">
        <f>Q!H45+Q!I45</f>
        <v>0</v>
      </c>
      <c r="C21" s="1519" t="s">
        <v>201</v>
      </c>
      <c r="D21" s="1519"/>
      <c r="E21" s="1519"/>
      <c r="F21" s="1040"/>
      <c r="G21" s="1038"/>
      <c r="H21" s="42"/>
      <c r="I21" s="1039"/>
    </row>
    <row r="22" spans="1:16" ht="14" customHeight="1" x14ac:dyDescent="0.15">
      <c r="A22" s="855">
        <f>IF(B23=0,0,I17/B23)</f>
        <v>0</v>
      </c>
      <c r="B22" s="1059"/>
      <c r="C22" s="1059"/>
      <c r="D22" s="1059"/>
      <c r="E22" s="760"/>
      <c r="F22" s="4"/>
      <c r="G22" s="99"/>
      <c r="H22" s="1010"/>
      <c r="I22" s="1009"/>
      <c r="J22" s="827"/>
      <c r="K22" s="823"/>
      <c r="L22" s="824"/>
      <c r="N22" s="1"/>
      <c r="O22" s="1"/>
      <c r="P22" s="173"/>
    </row>
    <row r="23" spans="1:16" ht="14" customHeight="1" x14ac:dyDescent="0.15">
      <c r="A23" s="94" t="s">
        <v>200</v>
      </c>
      <c r="B23" s="1058">
        <f>C9-B21</f>
        <v>0</v>
      </c>
      <c r="C23" s="1519" t="str">
        <f>'2neighborhood'!C66</f>
        <v>MSME services</v>
      </c>
      <c r="D23" s="1519"/>
      <c r="E23" s="1519"/>
      <c r="F23" s="1060">
        <f>Q!AM26</f>
        <v>0</v>
      </c>
      <c r="G23" s="1061">
        <v>60</v>
      </c>
      <c r="H23" s="1062">
        <f>IF(B23=0,0,IF(I17=0,0,G23/(I17/B23)-1))</f>
        <v>0</v>
      </c>
      <c r="I23" s="943">
        <f>G23*B23</f>
        <v>0</v>
      </c>
      <c r="K23" s="702" t="e">
        <f>I23/SUM(C6:C10)*10000</f>
        <v>#DIV/0!</v>
      </c>
    </row>
    <row r="24" spans="1:16" ht="14" customHeight="1" x14ac:dyDescent="0.15">
      <c r="A24" s="97" t="s">
        <v>83</v>
      </c>
      <c r="B24" s="958"/>
      <c r="C24" s="1519" t="s">
        <v>208</v>
      </c>
      <c r="D24" s="1519"/>
      <c r="E24" s="1519"/>
      <c r="F24" s="958"/>
      <c r="G24" s="958"/>
      <c r="H24" s="21"/>
      <c r="I24" s="941">
        <v>0</v>
      </c>
      <c r="J24" s="10"/>
    </row>
    <row r="25" spans="1:16" ht="14" customHeight="1" x14ac:dyDescent="0.15">
      <c r="A25" s="251" t="s">
        <v>207</v>
      </c>
      <c r="B25" s="958"/>
      <c r="C25" s="1519" t="s">
        <v>208</v>
      </c>
      <c r="D25" s="1519"/>
      <c r="E25" s="1519"/>
      <c r="F25" s="958"/>
      <c r="G25" s="958"/>
      <c r="H25" s="958"/>
      <c r="I25" s="941">
        <v>0</v>
      </c>
      <c r="K25" s="702" t="e">
        <f>I25/SUM(C6:C10)*10000</f>
        <v>#DIV/0!</v>
      </c>
    </row>
    <row r="26" spans="1:16" s="33" customFormat="1" ht="14" customHeight="1" x14ac:dyDescent="0.15">
      <c r="A26" s="239" t="s">
        <v>205</v>
      </c>
      <c r="B26" s="239"/>
      <c r="C26" s="1057"/>
      <c r="D26" s="242">
        <f>D23+D15</f>
        <v>0</v>
      </c>
      <c r="E26" s="243"/>
      <c r="F26" s="243"/>
      <c r="G26" s="242"/>
      <c r="H26" s="749">
        <f>H23</f>
        <v>0</v>
      </c>
      <c r="I26" s="830">
        <f>SUM(I21:I25)</f>
        <v>0</v>
      </c>
      <c r="K26" s="702" t="e">
        <f>I26/SUM(C6:C10)*10000</f>
        <v>#DIV/0!</v>
      </c>
    </row>
    <row r="27" spans="1:16" s="173" customFormat="1" ht="14" customHeight="1" x14ac:dyDescent="0.15">
      <c r="A27" s="17"/>
      <c r="B27" s="26"/>
      <c r="C27" s="26"/>
      <c r="D27" s="174"/>
      <c r="E27" s="174"/>
      <c r="F27" s="174"/>
      <c r="G27" s="174"/>
      <c r="H27" s="22"/>
      <c r="I27" s="831"/>
    </row>
    <row r="28" spans="1:16" s="22" customFormat="1" ht="14" customHeight="1" x14ac:dyDescent="0.15">
      <c r="A28" s="8" t="s">
        <v>193</v>
      </c>
      <c r="B28" s="44"/>
      <c r="C28" s="44"/>
      <c r="D28" s="100"/>
      <c r="E28" s="101"/>
      <c r="F28" s="56"/>
      <c r="G28" s="44"/>
      <c r="H28" s="232" t="s">
        <v>194</v>
      </c>
      <c r="I28" s="826">
        <f>I26-I17</f>
        <v>0</v>
      </c>
      <c r="K28" s="702" t="e">
        <f>I28/SUM(C6:C10)*10000</f>
        <v>#DIV/0!</v>
      </c>
    </row>
    <row r="29" spans="1:16" s="2" customFormat="1" ht="14" customHeight="1" x14ac:dyDescent="0.15">
      <c r="A29" s="412"/>
      <c r="B29" s="412"/>
      <c r="C29" s="413"/>
      <c r="D29" s="414"/>
      <c r="E29" s="415"/>
      <c r="F29" s="413"/>
      <c r="G29" s="413"/>
      <c r="H29" s="417" t="s">
        <v>209</v>
      </c>
      <c r="I29" s="1011">
        <f>IF(I17=0,0,I28/I17)</f>
        <v>0</v>
      </c>
      <c r="K29" s="33"/>
      <c r="L29" s="33"/>
      <c r="M29" s="33"/>
    </row>
    <row r="30" spans="1:16" s="22" customFormat="1" ht="14" customHeight="1" x14ac:dyDescent="0.15">
      <c r="A30" s="43"/>
      <c r="B30" s="43"/>
      <c r="C30" s="28"/>
      <c r="D30" s="28"/>
      <c r="E30" s="28"/>
      <c r="H30" s="46"/>
      <c r="I30" s="42"/>
      <c r="J30" s="41"/>
      <c r="K30" s="173"/>
      <c r="L30" s="173"/>
      <c r="M30" s="173"/>
    </row>
    <row r="31" spans="1:16" s="420" customFormat="1" ht="14" customHeight="1" x14ac:dyDescent="0.15">
      <c r="A31" s="419"/>
      <c r="B31" s="419"/>
      <c r="D31" s="421"/>
      <c r="E31" s="422"/>
      <c r="K31" s="22"/>
      <c r="L31" s="22"/>
      <c r="M31" s="22"/>
    </row>
    <row r="32" spans="1:16" s="173" customFormat="1" ht="14" customHeight="1" x14ac:dyDescent="0.15">
      <c r="B32" s="26"/>
      <c r="C32" s="26"/>
      <c r="D32" s="174"/>
      <c r="E32" s="174"/>
      <c r="F32" s="174"/>
      <c r="G32" s="174"/>
      <c r="H32" s="22"/>
      <c r="I32" s="174"/>
    </row>
    <row r="33" spans="1:13" customFormat="1" ht="14" customHeight="1" x14ac:dyDescent="0.15">
      <c r="A33" s="64" t="s">
        <v>48</v>
      </c>
      <c r="B33" s="26"/>
      <c r="C33" s="26"/>
      <c r="D33" s="26"/>
      <c r="E33" s="26"/>
      <c r="F33" s="22"/>
      <c r="G33" s="22"/>
      <c r="H33" s="22"/>
      <c r="I33" s="22"/>
      <c r="K33" s="6"/>
      <c r="L33" s="6"/>
      <c r="M33" s="6"/>
    </row>
    <row r="34" spans="1:13" ht="14" customHeight="1" x14ac:dyDescent="0.15">
      <c r="A34" s="161" t="s">
        <v>154</v>
      </c>
      <c r="B34" s="5"/>
      <c r="C34" s="5"/>
      <c r="D34"/>
      <c r="E34"/>
      <c r="F34"/>
      <c r="G34" s="6"/>
      <c r="H34" s="6"/>
      <c r="I34" s="6"/>
    </row>
    <row r="35" spans="1:13" customFormat="1" ht="14" customHeight="1" x14ac:dyDescent="0.15">
      <c r="A35" s="53" t="s">
        <v>197</v>
      </c>
      <c r="B35" s="26"/>
      <c r="C35" s="26"/>
      <c r="D35" s="26"/>
      <c r="E35" s="26"/>
      <c r="F35" s="26"/>
      <c r="G35" s="26"/>
      <c r="H35" s="26"/>
      <c r="I35" s="26"/>
    </row>
    <row r="36" spans="1:13" ht="14" customHeight="1" x14ac:dyDescent="0.15">
      <c r="A36" s="53" t="s">
        <v>45</v>
      </c>
      <c r="B36" s="6"/>
      <c r="C36" s="6"/>
      <c r="D36" s="6"/>
      <c r="E36" s="227"/>
      <c r="F36" s="227"/>
      <c r="G36" s="6"/>
      <c r="H36" s="6"/>
      <c r="I36" s="6"/>
    </row>
    <row r="37" spans="1:13" ht="14" customHeight="1" x14ac:dyDescent="0.15">
      <c r="A37" s="53" t="s">
        <v>212</v>
      </c>
      <c r="B37" s="6"/>
      <c r="C37" s="6"/>
      <c r="D37" s="6"/>
      <c r="E37" s="227"/>
      <c r="F37" s="227"/>
      <c r="G37" s="6"/>
      <c r="H37" s="6"/>
      <c r="I37" s="6"/>
    </row>
    <row r="38" spans="1:13" ht="14" customHeight="1" x14ac:dyDescent="0.15">
      <c r="A38" s="25" t="s">
        <v>217</v>
      </c>
    </row>
    <row r="39" spans="1:13" ht="14" customHeight="1" x14ac:dyDescent="0.15">
      <c r="A39" s="39"/>
      <c r="B39" s="17"/>
      <c r="C39" s="28"/>
      <c r="D39" s="89"/>
      <c r="E39" s="45"/>
      <c r="F39"/>
      <c r="G39" s="5"/>
      <c r="H39" s="37"/>
      <c r="I39" s="5"/>
    </row>
    <row r="40" spans="1:13" ht="14" customHeight="1" x14ac:dyDescent="0.15">
      <c r="A40" s="141" t="str">
        <f>"@Matt, question is whether the access area of the on-grid partition needs to be charged to the off-grid. Presumably not (fully) if it also services the backside of the on-grid and/or serves as distance between on-grid buildings..."</f>
        <v>@Matt, question is whether the access area of the on-grid partition needs to be charged to the off-grid. Presumably not (fully) if it also services the backside of the on-grid and/or serves as distance between on-grid buildings...</v>
      </c>
    </row>
    <row r="41" spans="1:13" ht="14" customHeight="1" x14ac:dyDescent="0.15">
      <c r="A41" s="141" t="str">
        <f>"@Daniel, Hide sheet if value in B3 is zero."</f>
        <v>@Daniel, Hide sheet if value in B3 is zero.</v>
      </c>
    </row>
  </sheetData>
  <sheetProtection selectLockedCells="1"/>
  <mergeCells count="5">
    <mergeCell ref="C19:E19"/>
    <mergeCell ref="C25:E25"/>
    <mergeCell ref="C21:E21"/>
    <mergeCell ref="C23:E23"/>
    <mergeCell ref="C24:E24"/>
  </mergeCells>
  <printOptions headings="1"/>
  <pageMargins left="0.7" right="0.7" top="0.75" bottom="0.75" header="0.3" footer="0.3"/>
  <pageSetup paperSize="9" scale="73" fitToWidth="0" fitToHeight="5" orientation="landscape" horizontalDpi="4294967292" verticalDpi="4294967292" r:id="rId1"/>
  <headerFooter>
    <oddHeader>&amp;R&amp;K000000&amp;A
Page &amp;P of &amp;N</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51E11-DAD4-9949-AFBB-5D5993DF3E1F}">
  <sheetPr>
    <tabColor theme="6" tint="0.39997558519241921"/>
  </sheetPr>
  <dimension ref="A1:P91"/>
  <sheetViews>
    <sheetView zoomScale="200" zoomScaleNormal="200" workbookViewId="0">
      <selection activeCell="H2" sqref="H2:J4"/>
    </sheetView>
  </sheetViews>
  <sheetFormatPr baseColWidth="10" defaultColWidth="10.6640625" defaultRowHeight="14" customHeight="1" x14ac:dyDescent="0.15"/>
  <cols>
    <col min="1" max="1" width="35.33203125" style="17" customWidth="1"/>
    <col min="2" max="9" width="12.83203125" style="26" customWidth="1"/>
    <col min="12" max="16384" width="10.6640625" style="6"/>
  </cols>
  <sheetData>
    <row r="1" spans="1:11" s="2" customFormat="1" ht="14" customHeight="1" x14ac:dyDescent="0.15">
      <c r="A1" s="23" t="s">
        <v>218</v>
      </c>
      <c r="B1" s="27"/>
      <c r="C1" s="27"/>
      <c r="D1" s="27"/>
      <c r="E1" s="27"/>
      <c r="F1" s="27"/>
      <c r="G1" s="131"/>
      <c r="I1" s="77"/>
    </row>
    <row r="2" spans="1:11" s="173" customFormat="1" ht="14" customHeight="1" thickBot="1" x14ac:dyDescent="0.2">
      <c r="A2" s="17"/>
      <c r="B2" s="26"/>
      <c r="C2" s="26"/>
      <c r="D2" s="174"/>
      <c r="E2" s="174"/>
      <c r="F2" s="174"/>
      <c r="G2" s="174"/>
      <c r="H2" s="33"/>
      <c r="I2" s="33"/>
      <c r="J2" s="33"/>
    </row>
    <row r="3" spans="1:11" s="173" customFormat="1" ht="14" customHeight="1" thickBot="1" x14ac:dyDescent="0.2">
      <c r="A3" s="184" t="s">
        <v>86</v>
      </c>
      <c r="B3" s="185">
        <f>Q!C46</f>
        <v>0</v>
      </c>
      <c r="D3" s="57"/>
      <c r="E3" s="57"/>
      <c r="F3" s="57"/>
      <c r="G3" s="57"/>
    </row>
    <row r="4" spans="1:11" s="173" customFormat="1" ht="14" customHeight="1" x14ac:dyDescent="0.15">
      <c r="A4" s="17"/>
      <c r="B4" s="26"/>
      <c r="C4" s="26"/>
      <c r="D4" s="174"/>
      <c r="E4" s="174"/>
      <c r="F4" s="174"/>
      <c r="G4" s="174"/>
      <c r="H4" s="22"/>
      <c r="I4" s="22"/>
      <c r="J4" s="22"/>
    </row>
    <row r="5" spans="1:11" s="48" customFormat="1" ht="26" x14ac:dyDescent="0.15">
      <c r="A5" s="233" t="s">
        <v>216</v>
      </c>
      <c r="B5" s="267" t="s">
        <v>0</v>
      </c>
      <c r="C5" s="268" t="s">
        <v>47</v>
      </c>
      <c r="D5" s="247" t="s">
        <v>5</v>
      </c>
      <c r="E5" s="269" t="s">
        <v>2</v>
      </c>
      <c r="F5" s="269" t="s">
        <v>3</v>
      </c>
      <c r="G5" s="247" t="s">
        <v>125</v>
      </c>
      <c r="H5" s="270" t="s">
        <v>31</v>
      </c>
      <c r="I5" s="247" t="s">
        <v>126</v>
      </c>
    </row>
    <row r="6" spans="1:11" s="173" customFormat="1" ht="14" customHeight="1" x14ac:dyDescent="0.15">
      <c r="A6" s="53" t="s">
        <v>436</v>
      </c>
      <c r="B6" s="26"/>
      <c r="D6" s="828"/>
      <c r="E6" s="174"/>
      <c r="F6" s="174"/>
      <c r="G6" s="831"/>
      <c r="H6" s="253"/>
      <c r="I6" s="831"/>
      <c r="J6" s="10"/>
    </row>
    <row r="7" spans="1:11" s="173" customFormat="1" ht="14" customHeight="1" x14ac:dyDescent="0.15">
      <c r="A7" s="95" t="s">
        <v>530</v>
      </c>
      <c r="B7" s="116">
        <f>'2neighborhood'!F59</f>
        <v>65</v>
      </c>
      <c r="C7" s="63">
        <f>Q!G46</f>
        <v>0</v>
      </c>
      <c r="D7" s="825">
        <f>B7*C7</f>
        <v>0</v>
      </c>
      <c r="E7" s="1417">
        <f t="shared" ref="E7:F9" si="0">E8</f>
        <v>0</v>
      </c>
      <c r="F7" s="1415">
        <f t="shared" si="0"/>
        <v>0.05</v>
      </c>
      <c r="G7" s="1416">
        <f t="shared" ref="G7:G16" si="1">D7*(1+E7)*(1+F7)</f>
        <v>0</v>
      </c>
      <c r="H7" s="1415">
        <f>H10</f>
        <v>0.1</v>
      </c>
      <c r="I7" s="1416">
        <f t="shared" ref="I7:I9" si="2">G7*(1+H7)</f>
        <v>0</v>
      </c>
    </row>
    <row r="8" spans="1:11" s="173" customFormat="1" ht="14" customHeight="1" x14ac:dyDescent="0.15">
      <c r="A8" s="95" t="s">
        <v>531</v>
      </c>
      <c r="B8" s="168">
        <v>0.5</v>
      </c>
      <c r="C8" s="26"/>
      <c r="D8" s="825">
        <f>-D7*B8</f>
        <v>0</v>
      </c>
      <c r="E8" s="1417">
        <f t="shared" si="0"/>
        <v>0</v>
      </c>
      <c r="F8" s="1415">
        <f t="shared" si="0"/>
        <v>0.05</v>
      </c>
      <c r="G8" s="1416">
        <f t="shared" si="1"/>
        <v>0</v>
      </c>
      <c r="H8" s="1415">
        <f>H10</f>
        <v>0.1</v>
      </c>
      <c r="I8" s="1416">
        <f t="shared" si="2"/>
        <v>0</v>
      </c>
    </row>
    <row r="9" spans="1:11" s="173" customFormat="1" ht="14" customHeight="1" x14ac:dyDescent="0.15">
      <c r="A9" s="76" t="s">
        <v>180</v>
      </c>
      <c r="B9" s="116">
        <f>'2neighborhood'!F67</f>
        <v>20</v>
      </c>
      <c r="C9" s="63">
        <f>Q!O27</f>
        <v>0</v>
      </c>
      <c r="D9" s="825">
        <f>B9*C9</f>
        <v>0</v>
      </c>
      <c r="E9" s="1417">
        <f t="shared" si="0"/>
        <v>0</v>
      </c>
      <c r="F9" s="1415">
        <f t="shared" si="0"/>
        <v>0.05</v>
      </c>
      <c r="G9" s="1416">
        <f t="shared" si="1"/>
        <v>0</v>
      </c>
      <c r="H9" s="1415">
        <f>H10</f>
        <v>0.1</v>
      </c>
      <c r="I9" s="1416">
        <f t="shared" si="2"/>
        <v>0</v>
      </c>
    </row>
    <row r="10" spans="1:11" s="10" customFormat="1" ht="14" customHeight="1" x14ac:dyDescent="0.15">
      <c r="A10" s="112" t="s">
        <v>135</v>
      </c>
      <c r="B10" s="117"/>
      <c r="C10" s="117"/>
      <c r="D10" s="829">
        <f>SUM(D7:D9)</f>
        <v>0</v>
      </c>
      <c r="E10" s="172">
        <f>'3cluster_artery'!E10</f>
        <v>0</v>
      </c>
      <c r="F10" s="172">
        <f>'3cluster_artery'!F10</f>
        <v>0.05</v>
      </c>
      <c r="G10" s="832">
        <f t="shared" si="1"/>
        <v>0</v>
      </c>
      <c r="H10" s="172">
        <v>0.1</v>
      </c>
      <c r="I10" s="832">
        <f>G10*(1+H10)</f>
        <v>0</v>
      </c>
    </row>
    <row r="11" spans="1:11" ht="14" customHeight="1" x14ac:dyDescent="0.15">
      <c r="A11" s="111" t="s">
        <v>85</v>
      </c>
      <c r="B11" s="171">
        <v>500</v>
      </c>
      <c r="C11" s="138">
        <f>Q!D46</f>
        <v>0</v>
      </c>
      <c r="D11" s="825">
        <f>B11*C11</f>
        <v>0</v>
      </c>
      <c r="E11" s="1417">
        <f t="shared" ref="E11:F15" si="3">E12</f>
        <v>0.1</v>
      </c>
      <c r="F11" s="1415">
        <f t="shared" si="3"/>
        <v>0.12</v>
      </c>
      <c r="G11" s="1416">
        <f t="shared" si="1"/>
        <v>0</v>
      </c>
      <c r="H11" s="1415">
        <f>H10</f>
        <v>0.1</v>
      </c>
      <c r="I11" s="1416">
        <f t="shared" ref="I11:I15" si="4">G11*(1+H11)</f>
        <v>0</v>
      </c>
      <c r="J11" s="6"/>
      <c r="K11" s="6"/>
    </row>
    <row r="12" spans="1:11" ht="14" customHeight="1" x14ac:dyDescent="0.15">
      <c r="A12" s="111" t="s">
        <v>141</v>
      </c>
      <c r="B12" s="166">
        <v>180</v>
      </c>
      <c r="C12" s="67">
        <f>Q!X27</f>
        <v>0</v>
      </c>
      <c r="D12" s="825">
        <f>B12*C12</f>
        <v>0</v>
      </c>
      <c r="E12" s="1417">
        <f t="shared" si="3"/>
        <v>0.1</v>
      </c>
      <c r="F12" s="1415">
        <f t="shared" si="3"/>
        <v>0.12</v>
      </c>
      <c r="G12" s="1416">
        <f t="shared" si="1"/>
        <v>0</v>
      </c>
      <c r="H12" s="1415">
        <f>H10</f>
        <v>0.1</v>
      </c>
      <c r="I12" s="1416">
        <f t="shared" si="4"/>
        <v>0</v>
      </c>
      <c r="J12" s="6"/>
      <c r="K12" s="6"/>
    </row>
    <row r="13" spans="1:11" s="173" customFormat="1" ht="14" customHeight="1" x14ac:dyDescent="0.15">
      <c r="A13" s="98" t="s">
        <v>84</v>
      </c>
      <c r="B13" s="167">
        <v>15</v>
      </c>
      <c r="C13" s="63">
        <f>Q!I46</f>
        <v>0</v>
      </c>
      <c r="D13" s="825">
        <f>B13*C13</f>
        <v>0</v>
      </c>
      <c r="E13" s="1417">
        <f t="shared" si="3"/>
        <v>0.1</v>
      </c>
      <c r="F13" s="1415">
        <f t="shared" si="3"/>
        <v>0.12</v>
      </c>
      <c r="G13" s="1416">
        <f t="shared" si="1"/>
        <v>0</v>
      </c>
      <c r="H13" s="1415">
        <f>H10</f>
        <v>0.1</v>
      </c>
      <c r="I13" s="1416">
        <f t="shared" si="4"/>
        <v>0</v>
      </c>
    </row>
    <row r="14" spans="1:11" s="173" customFormat="1" ht="14" customHeight="1" x14ac:dyDescent="0.15">
      <c r="A14" s="97" t="s">
        <v>83</v>
      </c>
      <c r="C14" s="633" t="s">
        <v>457</v>
      </c>
      <c r="D14" s="835">
        <v>0</v>
      </c>
      <c r="E14" s="1417">
        <f t="shared" si="3"/>
        <v>0.1</v>
      </c>
      <c r="F14" s="1415">
        <f t="shared" si="3"/>
        <v>0.12</v>
      </c>
      <c r="G14" s="1416">
        <f t="shared" si="1"/>
        <v>0</v>
      </c>
      <c r="H14" s="1415">
        <f>H10</f>
        <v>0.1</v>
      </c>
      <c r="I14" s="1416">
        <f t="shared" si="4"/>
        <v>0</v>
      </c>
    </row>
    <row r="15" spans="1:11" s="173" customFormat="1" ht="14" customHeight="1" x14ac:dyDescent="0.15">
      <c r="A15" s="90" t="s">
        <v>87</v>
      </c>
      <c r="B15" s="26"/>
      <c r="C15" s="26"/>
      <c r="D15" s="835">
        <v>0</v>
      </c>
      <c r="E15" s="1417">
        <f t="shared" si="3"/>
        <v>0.1</v>
      </c>
      <c r="F15" s="1415">
        <f t="shared" si="3"/>
        <v>0.12</v>
      </c>
      <c r="G15" s="1416">
        <f t="shared" si="1"/>
        <v>0</v>
      </c>
      <c r="H15" s="1415">
        <f>H10</f>
        <v>0.1</v>
      </c>
      <c r="I15" s="1416">
        <f t="shared" si="4"/>
        <v>0</v>
      </c>
    </row>
    <row r="16" spans="1:11" s="10" customFormat="1" ht="14" customHeight="1" x14ac:dyDescent="0.15">
      <c r="A16" s="112" t="s">
        <v>88</v>
      </c>
      <c r="B16" s="117"/>
      <c r="C16" s="117"/>
      <c r="D16" s="829">
        <f>SUM(D11:D15)</f>
        <v>0</v>
      </c>
      <c r="E16" s="238">
        <f>'3cluster_artery'!E16</f>
        <v>0.1</v>
      </c>
      <c r="F16" s="238">
        <f>'3cluster_artery'!F16</f>
        <v>0.12</v>
      </c>
      <c r="G16" s="832">
        <f t="shared" si="1"/>
        <v>0</v>
      </c>
      <c r="H16" s="187">
        <f>H10</f>
        <v>0.1</v>
      </c>
      <c r="I16" s="832">
        <f>G16*(1+H16)</f>
        <v>0</v>
      </c>
    </row>
    <row r="17" spans="1:16" s="33" customFormat="1" ht="14" customHeight="1" x14ac:dyDescent="0.15">
      <c r="A17" s="239" t="s">
        <v>206</v>
      </c>
      <c r="B17" s="240"/>
      <c r="C17" s="241"/>
      <c r="D17" s="830">
        <f>D16+D10</f>
        <v>0</v>
      </c>
      <c r="E17" s="243"/>
      <c r="F17" s="243"/>
      <c r="G17" s="830">
        <f>G16+G10</f>
        <v>0</v>
      </c>
      <c r="H17" s="244"/>
      <c r="I17" s="830">
        <f>I16+I10</f>
        <v>0</v>
      </c>
    </row>
    <row r="18" spans="1:16" s="173" customFormat="1" ht="14" customHeight="1" x14ac:dyDescent="0.15">
      <c r="A18" s="17"/>
      <c r="B18" s="26"/>
      <c r="C18" s="26"/>
      <c r="D18" s="174"/>
      <c r="E18" s="174"/>
      <c r="F18" s="174"/>
      <c r="G18" s="174"/>
      <c r="H18" s="174"/>
      <c r="I18" s="831"/>
      <c r="J18" s="33"/>
    </row>
    <row r="19" spans="1:16" s="1" customFormat="1" ht="29" customHeight="1" x14ac:dyDescent="0.15">
      <c r="A19" s="248" t="s">
        <v>215</v>
      </c>
      <c r="B19" s="249" t="s">
        <v>210</v>
      </c>
      <c r="C19" s="1518" t="s">
        <v>527</v>
      </c>
      <c r="D19" s="1518"/>
      <c r="E19" s="1518"/>
      <c r="F19" s="250" t="s">
        <v>53</v>
      </c>
      <c r="G19" s="249" t="s">
        <v>203</v>
      </c>
      <c r="H19" s="249" t="s">
        <v>214</v>
      </c>
      <c r="I19" s="833" t="s">
        <v>204</v>
      </c>
      <c r="J19" s="33"/>
    </row>
    <row r="20" spans="1:16" s="173" customFormat="1" ht="14" customHeight="1" x14ac:dyDescent="0.15">
      <c r="A20" s="53" t="s">
        <v>436</v>
      </c>
      <c r="B20" s="26"/>
      <c r="D20" s="828"/>
      <c r="E20" s="174"/>
      <c r="F20" s="174"/>
      <c r="G20" s="831"/>
      <c r="H20" s="253"/>
      <c r="I20" s="831"/>
      <c r="J20" s="10"/>
    </row>
    <row r="21" spans="1:16" s="173" customFormat="1" ht="14" customHeight="1" x14ac:dyDescent="0.15">
      <c r="A21" s="111" t="s">
        <v>199</v>
      </c>
      <c r="B21" s="62">
        <f>Q!H46+Q!I46</f>
        <v>0</v>
      </c>
      <c r="C21" s="1519" t="s">
        <v>201</v>
      </c>
      <c r="D21" s="1519"/>
      <c r="E21" s="1519"/>
      <c r="F21" s="174"/>
      <c r="G21" s="22"/>
      <c r="H21" s="174"/>
      <c r="I21" s="828"/>
      <c r="J21" s="33"/>
    </row>
    <row r="22" spans="1:16" ht="14" customHeight="1" x14ac:dyDescent="0.15">
      <c r="A22" s="855">
        <f>IF(B23=0,0,I17/B23)</f>
        <v>0</v>
      </c>
      <c r="B22" s="854"/>
      <c r="C22" s="854"/>
      <c r="D22" s="854"/>
      <c r="E22" s="760"/>
      <c r="F22" s="6"/>
      <c r="G22" s="99"/>
      <c r="H22" s="630"/>
      <c r="I22" s="827"/>
      <c r="J22" s="827"/>
      <c r="K22" s="823"/>
      <c r="L22" s="824"/>
      <c r="N22" s="1"/>
      <c r="O22" s="1"/>
      <c r="P22" s="173"/>
    </row>
    <row r="23" spans="1:16" ht="14" customHeight="1" x14ac:dyDescent="0.15">
      <c r="A23" s="92" t="s">
        <v>200</v>
      </c>
      <c r="B23" s="62">
        <f>C9-B21</f>
        <v>0</v>
      </c>
      <c r="C23" s="1519" t="str">
        <f>'2neighborhood'!C67</f>
        <v>MSME manufacturing</v>
      </c>
      <c r="D23" s="1519"/>
      <c r="E23" s="1519"/>
      <c r="F23" s="754">
        <f>Q!AM27</f>
        <v>0</v>
      </c>
      <c r="G23" s="627">
        <v>48</v>
      </c>
      <c r="H23" s="745">
        <f>IF(B23=0,0,IF(I17=0,0,G23/(I17/B23)-1))</f>
        <v>0</v>
      </c>
      <c r="I23" s="821">
        <f>G23*B23</f>
        <v>0</v>
      </c>
      <c r="J23" s="33"/>
      <c r="K23" s="6"/>
    </row>
    <row r="24" spans="1:16" ht="14" customHeight="1" x14ac:dyDescent="0.15">
      <c r="A24" s="97" t="s">
        <v>83</v>
      </c>
      <c r="B24" s="19"/>
      <c r="C24" s="1519" t="s">
        <v>208</v>
      </c>
      <c r="D24" s="1519"/>
      <c r="E24" s="1519"/>
      <c r="F24" s="19"/>
      <c r="G24" s="19"/>
      <c r="H24" s="747"/>
      <c r="I24" s="819">
        <v>0</v>
      </c>
      <c r="J24" s="10"/>
      <c r="K24" s="6"/>
    </row>
    <row r="25" spans="1:16" ht="14" customHeight="1" x14ac:dyDescent="0.15">
      <c r="A25" s="251" t="s">
        <v>207</v>
      </c>
      <c r="B25" s="19"/>
      <c r="C25" s="1519" t="s">
        <v>208</v>
      </c>
      <c r="D25" s="1519"/>
      <c r="E25" s="1519"/>
      <c r="F25" s="19"/>
      <c r="G25" s="19"/>
      <c r="H25" s="19"/>
      <c r="I25" s="819">
        <v>0</v>
      </c>
      <c r="J25" s="33"/>
      <c r="K25" s="6"/>
    </row>
    <row r="26" spans="1:16" s="33" customFormat="1" ht="14" customHeight="1" x14ac:dyDescent="0.15">
      <c r="A26" s="239" t="s">
        <v>205</v>
      </c>
      <c r="B26" s="240"/>
      <c r="C26" s="241"/>
      <c r="D26" s="242">
        <f>D23+D15</f>
        <v>0</v>
      </c>
      <c r="E26" s="243"/>
      <c r="F26" s="243"/>
      <c r="G26" s="242"/>
      <c r="H26" s="750">
        <f>H23</f>
        <v>0</v>
      </c>
      <c r="I26" s="830">
        <f>SUM(I21:I25)</f>
        <v>0</v>
      </c>
    </row>
    <row r="27" spans="1:16" s="173" customFormat="1" ht="14" customHeight="1" x14ac:dyDescent="0.15">
      <c r="A27" s="17"/>
      <c r="B27" s="26"/>
      <c r="E27" s="174"/>
      <c r="F27" s="174"/>
      <c r="G27" s="174"/>
      <c r="H27" s="22"/>
      <c r="I27" s="831"/>
      <c r="J27" s="33"/>
    </row>
    <row r="28" spans="1:16" s="22" customFormat="1" ht="14" customHeight="1" x14ac:dyDescent="0.15">
      <c r="A28" s="8" t="s">
        <v>193</v>
      </c>
      <c r="B28" s="44"/>
      <c r="C28" s="44"/>
      <c r="D28" s="100"/>
      <c r="E28" s="101"/>
      <c r="F28" s="56"/>
      <c r="G28" s="44"/>
      <c r="H28" s="232" t="s">
        <v>194</v>
      </c>
      <c r="I28" s="826">
        <f>I26-I17</f>
        <v>0</v>
      </c>
    </row>
    <row r="29" spans="1:16" s="2" customFormat="1" ht="14" customHeight="1" x14ac:dyDescent="0.15">
      <c r="A29" s="412"/>
      <c r="B29" s="412"/>
      <c r="C29" s="413"/>
      <c r="D29" s="414"/>
      <c r="E29" s="415"/>
      <c r="F29" s="413"/>
      <c r="G29" s="413"/>
      <c r="H29" s="417" t="s">
        <v>209</v>
      </c>
      <c r="I29" s="418">
        <f>IF(I17=0,0,I28/I17)</f>
        <v>0</v>
      </c>
      <c r="K29" s="33"/>
      <c r="L29" s="33"/>
      <c r="M29" s="33"/>
    </row>
    <row r="30" spans="1:16" s="22" customFormat="1" ht="14" customHeight="1" x14ac:dyDescent="0.15">
      <c r="A30" s="43"/>
      <c r="B30" s="43"/>
      <c r="C30" s="28"/>
      <c r="D30" s="28"/>
      <c r="E30" s="28"/>
      <c r="H30" s="46"/>
      <c r="I30" s="42"/>
      <c r="J30" s="41"/>
      <c r="K30" s="173"/>
      <c r="L30" s="173"/>
      <c r="M30" s="173"/>
    </row>
    <row r="31" spans="1:16" s="420" customFormat="1" ht="14" customHeight="1" x14ac:dyDescent="0.15">
      <c r="A31" s="419"/>
      <c r="B31" s="419"/>
      <c r="D31" s="421"/>
      <c r="E31" s="422"/>
      <c r="K31" s="22"/>
      <c r="L31" s="22"/>
      <c r="M31" s="22"/>
      <c r="N31" s="22"/>
    </row>
    <row r="32" spans="1:16" s="173" customFormat="1" ht="14" customHeight="1" x14ac:dyDescent="0.15">
      <c r="B32" s="26"/>
      <c r="C32" s="26"/>
      <c r="D32" s="174"/>
      <c r="E32" s="174"/>
      <c r="F32" s="174"/>
      <c r="G32" s="174"/>
      <c r="H32" s="22"/>
      <c r="I32" s="174"/>
    </row>
    <row r="33" spans="1:11" customFormat="1" ht="14" customHeight="1" x14ac:dyDescent="0.15">
      <c r="A33" s="64" t="s">
        <v>48</v>
      </c>
      <c r="B33" s="26"/>
      <c r="C33" s="26"/>
      <c r="D33" s="26"/>
      <c r="E33" s="26"/>
      <c r="F33" s="22"/>
      <c r="G33" s="22"/>
      <c r="H33" s="22"/>
      <c r="I33" s="22"/>
    </row>
    <row r="34" spans="1:11" ht="14" customHeight="1" x14ac:dyDescent="0.15">
      <c r="A34" s="161" t="s">
        <v>154</v>
      </c>
      <c r="B34" s="5"/>
      <c r="C34" s="5"/>
      <c r="D34"/>
      <c r="E34"/>
      <c r="F34"/>
      <c r="G34" s="6"/>
      <c r="H34" s="6"/>
      <c r="I34" s="6"/>
      <c r="J34" s="6"/>
      <c r="K34" s="6"/>
    </row>
    <row r="35" spans="1:11" customFormat="1" ht="14" customHeight="1" x14ac:dyDescent="0.15">
      <c r="A35" s="53" t="s">
        <v>197</v>
      </c>
      <c r="B35" s="26"/>
      <c r="C35" s="26"/>
      <c r="D35" s="26"/>
      <c r="E35" s="26"/>
      <c r="F35" s="26"/>
      <c r="G35" s="26"/>
      <c r="H35" s="26"/>
      <c r="I35" s="26"/>
    </row>
    <row r="36" spans="1:11" ht="14" customHeight="1" x14ac:dyDescent="0.15">
      <c r="A36" s="53" t="s">
        <v>45</v>
      </c>
      <c r="B36" s="6"/>
      <c r="C36" s="6"/>
      <c r="D36" s="6"/>
      <c r="E36" s="227"/>
      <c r="F36" s="227"/>
      <c r="G36" s="6"/>
      <c r="H36" s="6"/>
      <c r="I36" s="6"/>
      <c r="J36" s="6"/>
      <c r="K36" s="6"/>
    </row>
    <row r="37" spans="1:11" ht="14" customHeight="1" x14ac:dyDescent="0.15">
      <c r="A37" s="53" t="s">
        <v>212</v>
      </c>
      <c r="B37" s="6"/>
      <c r="C37" s="6"/>
      <c r="D37" s="6"/>
      <c r="E37" s="227"/>
      <c r="F37" s="227"/>
      <c r="G37" s="6"/>
      <c r="H37" s="6"/>
      <c r="I37" s="6"/>
      <c r="J37" s="6"/>
      <c r="K37" s="6"/>
    </row>
    <row r="38" spans="1:11" ht="14" customHeight="1" x14ac:dyDescent="0.15">
      <c r="A38" s="25" t="s">
        <v>217</v>
      </c>
      <c r="J38" s="6"/>
      <c r="K38" s="6"/>
    </row>
    <row r="39" spans="1:11" ht="14" customHeight="1" x14ac:dyDescent="0.15">
      <c r="A39" s="39"/>
      <c r="B39" s="17"/>
      <c r="C39" s="28"/>
      <c r="D39" s="89"/>
      <c r="E39" s="45"/>
      <c r="F39"/>
      <c r="G39" s="5"/>
      <c r="H39" s="37"/>
      <c r="I39" s="5"/>
      <c r="J39" s="6"/>
      <c r="K39" s="6"/>
    </row>
    <row r="40" spans="1:11" ht="14" customHeight="1" x14ac:dyDescent="0.15">
      <c r="A40" s="141" t="str">
        <f>"@Matt, question is whether the access area of the on-grid partition needs to be charged to the off-grid. Presumably not (fully) if it also services the backside of the on-grid and/or serves as distance between on-grid buildings..."</f>
        <v>@Matt, question is whether the access area of the on-grid partition needs to be charged to the off-grid. Presumably not (fully) if it also services the backside of the on-grid and/or serves as distance between on-grid buildings...</v>
      </c>
      <c r="J40" s="6"/>
      <c r="K40" s="6"/>
    </row>
    <row r="41" spans="1:11" ht="14" customHeight="1" x14ac:dyDescent="0.15">
      <c r="A41" s="141" t="str">
        <f>"@Daniel, Hide sheet if value in B3 is zero."</f>
        <v>@Daniel, Hide sheet if value in B3 is zero.</v>
      </c>
      <c r="J41" s="6"/>
      <c r="K41" s="6"/>
    </row>
    <row r="67" spans="1:11" s="173" customFormat="1" ht="14" customHeight="1" x14ac:dyDescent="0.15">
      <c r="A67" s="17"/>
      <c r="B67" s="26"/>
      <c r="E67" s="174"/>
      <c r="F67" s="174"/>
      <c r="G67" s="174"/>
      <c r="H67" s="22"/>
      <c r="I67" s="174"/>
    </row>
    <row r="68" spans="1:11" s="173" customFormat="1" ht="14" customHeight="1" x14ac:dyDescent="0.15">
      <c r="A68" s="17"/>
      <c r="B68" s="26"/>
      <c r="C68" s="26"/>
      <c r="D68" s="174"/>
      <c r="E68" s="174"/>
      <c r="F68" s="174"/>
      <c r="G68" s="174"/>
      <c r="H68" s="205"/>
      <c r="I68" s="174"/>
    </row>
    <row r="69" spans="1:11" customFormat="1" ht="14" customHeight="1" x14ac:dyDescent="0.15">
      <c r="A69" s="64" t="s">
        <v>48</v>
      </c>
      <c r="B69" s="26"/>
      <c r="C69" s="26"/>
      <c r="D69" s="26"/>
      <c r="E69" s="26"/>
      <c r="F69" s="22"/>
      <c r="G69" s="22"/>
      <c r="H69" s="22"/>
      <c r="I69" s="22"/>
    </row>
    <row r="70" spans="1:11" ht="14" customHeight="1" x14ac:dyDescent="0.15">
      <c r="A70" s="161" t="s">
        <v>154</v>
      </c>
      <c r="B70" s="5"/>
      <c r="C70" s="5"/>
      <c r="D70"/>
      <c r="E70"/>
      <c r="F70"/>
      <c r="G70" s="6"/>
      <c r="H70" s="6"/>
      <c r="I70" s="6"/>
      <c r="J70" s="6"/>
      <c r="K70" s="6"/>
    </row>
    <row r="71" spans="1:11" customFormat="1" ht="14" customHeight="1" x14ac:dyDescent="0.15">
      <c r="A71" s="53" t="s">
        <v>45</v>
      </c>
      <c r="B71" s="26"/>
      <c r="C71" s="26"/>
      <c r="D71" s="26"/>
      <c r="E71" s="26"/>
      <c r="F71" s="26"/>
      <c r="G71" s="26"/>
      <c r="H71" s="26"/>
      <c r="I71" s="26"/>
    </row>
    <row r="72" spans="1:11" customFormat="1" ht="14" customHeight="1" x14ac:dyDescent="0.15">
      <c r="A72" s="53" t="s">
        <v>197</v>
      </c>
      <c r="B72" s="26"/>
      <c r="C72" s="26"/>
      <c r="D72" s="26"/>
      <c r="E72" s="26"/>
      <c r="F72" s="26"/>
      <c r="G72" s="26"/>
      <c r="H72" s="26"/>
      <c r="I72" s="26"/>
    </row>
    <row r="73" spans="1:11" ht="14" customHeight="1" x14ac:dyDescent="0.15">
      <c r="A73" s="25" t="s">
        <v>149</v>
      </c>
    </row>
    <row r="75" spans="1:11" ht="14" customHeight="1" x14ac:dyDescent="0.15">
      <c r="A75" s="141" t="str">
        <f>"@Matt, question is whether the access area of the on-grid partition needs to be charged to the off-grid. Presumably not (fully) if it also services the backside of the on-grid and/or serves as distance between on-grid buildings..."</f>
        <v>@Matt, question is whether the access area of the on-grid partition needs to be charged to the off-grid. Presumably not (fully) if it also services the backside of the on-grid and/or serves as distance between on-grid buildings...</v>
      </c>
    </row>
    <row r="78" spans="1:11" s="2" customFormat="1" ht="28" customHeight="1" x14ac:dyDescent="0.15">
      <c r="A78" s="23" t="s">
        <v>142</v>
      </c>
      <c r="B78" s="23"/>
      <c r="C78" s="32"/>
      <c r="D78" s="88"/>
      <c r="E78" s="77"/>
      <c r="G78" s="25"/>
      <c r="H78" s="38"/>
      <c r="I78" s="4"/>
      <c r="J78" s="205" t="s">
        <v>163</v>
      </c>
    </row>
    <row r="82" spans="1:11" ht="14" customHeight="1" x14ac:dyDescent="0.15">
      <c r="A82"/>
      <c r="B82"/>
      <c r="C82"/>
      <c r="D82"/>
      <c r="E82"/>
      <c r="F82"/>
      <c r="G82" s="5"/>
      <c r="H82" s="6"/>
      <c r="I82" s="5"/>
      <c r="J82" s="6"/>
      <c r="K82" s="6"/>
    </row>
    <row r="83" spans="1:11" ht="14" customHeight="1" x14ac:dyDescent="0.15">
      <c r="B83" s="17"/>
      <c r="C83" s="32"/>
      <c r="D83" s="89"/>
      <c r="E83" s="45"/>
      <c r="F83"/>
      <c r="G83" s="39"/>
      <c r="H83" s="37"/>
      <c r="I83" s="5"/>
      <c r="J83" s="6"/>
      <c r="K83" s="6"/>
    </row>
    <row r="84" spans="1:11" ht="14" customHeight="1" x14ac:dyDescent="0.15">
      <c r="A84" s="64" t="s">
        <v>48</v>
      </c>
      <c r="B84" s="64"/>
      <c r="C84" s="28"/>
      <c r="D84" s="74"/>
      <c r="F84" s="5"/>
      <c r="G84" s="5"/>
      <c r="H84" s="5"/>
      <c r="I84" s="6"/>
      <c r="J84" s="6"/>
      <c r="K84" s="6"/>
    </row>
    <row r="85" spans="1:11" ht="14" customHeight="1" x14ac:dyDescent="0.15">
      <c r="A85" s="161" t="s">
        <v>154</v>
      </c>
      <c r="B85" s="163"/>
      <c r="C85" s="5"/>
      <c r="D85" s="5"/>
      <c r="E85"/>
      <c r="F85"/>
      <c r="G85"/>
      <c r="H85" s="6"/>
      <c r="I85" s="6"/>
      <c r="J85" s="6"/>
      <c r="K85" s="6"/>
    </row>
    <row r="86" spans="1:11" ht="14" customHeight="1" x14ac:dyDescent="0.15">
      <c r="A86" s="25" t="s">
        <v>66</v>
      </c>
      <c r="B86" s="73"/>
      <c r="C86" s="28"/>
      <c r="D86" s="74"/>
      <c r="F86" s="5"/>
      <c r="G86" s="5"/>
      <c r="H86" s="5"/>
      <c r="I86" s="5"/>
      <c r="J86" s="6"/>
      <c r="K86" s="6"/>
    </row>
    <row r="87" spans="1:11" ht="14" customHeight="1" x14ac:dyDescent="0.15">
      <c r="A87" s="53" t="s">
        <v>45</v>
      </c>
      <c r="B87" s="53"/>
      <c r="C87" s="28"/>
      <c r="D87" s="89"/>
      <c r="E87" s="45"/>
      <c r="F87"/>
      <c r="G87" s="5"/>
      <c r="H87" s="37"/>
      <c r="I87" s="5"/>
      <c r="J87" s="6"/>
      <c r="K87" s="6"/>
    </row>
    <row r="88" spans="1:11" ht="14" customHeight="1" x14ac:dyDescent="0.15">
      <c r="A88" s="53" t="s">
        <v>46</v>
      </c>
      <c r="B88" s="53"/>
      <c r="C88" s="28"/>
      <c r="D88" s="89"/>
      <c r="E88" s="45"/>
      <c r="F88"/>
      <c r="G88" s="5"/>
      <c r="H88" s="37"/>
      <c r="I88" s="5"/>
      <c r="J88" s="6"/>
      <c r="K88" s="6"/>
    </row>
    <row r="89" spans="1:11" ht="14" customHeight="1" x14ac:dyDescent="0.15">
      <c r="A89" s="39" t="s">
        <v>164</v>
      </c>
      <c r="B89" s="17"/>
      <c r="C89" s="28"/>
      <c r="D89" s="89"/>
      <c r="E89" s="45"/>
      <c r="F89"/>
      <c r="G89" s="5"/>
      <c r="H89" s="37"/>
      <c r="I89" s="5"/>
      <c r="J89" s="6"/>
      <c r="K89" s="6"/>
    </row>
    <row r="90" spans="1:11" ht="14" customHeight="1" x14ac:dyDescent="0.15">
      <c r="B90" s="17"/>
      <c r="C90" s="28"/>
      <c r="D90" s="89"/>
      <c r="E90" s="45"/>
      <c r="F90"/>
      <c r="G90" s="5"/>
      <c r="H90" s="37"/>
      <c r="I90" s="5"/>
      <c r="J90" s="6"/>
      <c r="K90" s="6"/>
    </row>
    <row r="91" spans="1:11" ht="14" customHeight="1" x14ac:dyDescent="0.15">
      <c r="A91" s="30" t="str">
        <f>"@Matt, for FAR use permitted vs. viable FAR calculated from the spatial model? Only consider private lands for this calculation to calibrate opportunity costs of public lands..."</f>
        <v>@Matt, for FAR use permitted vs. viable FAR calculated from the spatial model? Only consider private lands for this calculation to calibrate opportunity costs of public lands...</v>
      </c>
      <c r="B91" s="17"/>
      <c r="C91" s="28"/>
      <c r="D91" s="89"/>
      <c r="E91" s="45"/>
      <c r="F91"/>
      <c r="G91" s="5"/>
      <c r="H91" s="37"/>
      <c r="I91" s="5"/>
      <c r="J91" s="6"/>
      <c r="K91" s="6"/>
    </row>
  </sheetData>
  <sheetProtection selectLockedCells="1"/>
  <mergeCells count="5">
    <mergeCell ref="C19:E19"/>
    <mergeCell ref="C25:E25"/>
    <mergeCell ref="C21:E21"/>
    <mergeCell ref="C23:E23"/>
    <mergeCell ref="C24:E24"/>
  </mergeCells>
  <printOptions headings="1"/>
  <pageMargins left="0.7" right="0.7" top="0.75" bottom="0.75" header="0.3" footer="0.3"/>
  <pageSetup paperSize="9" scale="73" fitToWidth="0" fitToHeight="5" orientation="landscape" horizontalDpi="4294967292" verticalDpi="4294967292" r:id="rId1"/>
  <headerFooter>
    <oddHeader>&amp;R&amp;K000000&amp;A
Page &amp;P of &amp;N</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EBB31-23B1-5744-95AA-5E7EE320FB9B}">
  <sheetPr>
    <tabColor theme="6" tint="0.59999389629810485"/>
  </sheetPr>
  <dimension ref="A1:P89"/>
  <sheetViews>
    <sheetView zoomScale="200" zoomScaleNormal="200" workbookViewId="0">
      <selection activeCell="B43" sqref="B43"/>
    </sheetView>
  </sheetViews>
  <sheetFormatPr baseColWidth="10" defaultColWidth="10.6640625" defaultRowHeight="14" customHeight="1" x14ac:dyDescent="0.15"/>
  <cols>
    <col min="1" max="1" width="35.33203125" style="17" customWidth="1"/>
    <col min="2" max="9" width="12.83203125" style="26" customWidth="1"/>
    <col min="10" max="10" width="1.33203125" style="5" customWidth="1"/>
    <col min="12" max="16384" width="10.6640625" style="6"/>
  </cols>
  <sheetData>
    <row r="1" spans="1:11" s="2" customFormat="1" ht="14" customHeight="1" x14ac:dyDescent="0.15">
      <c r="A1" s="23" t="s">
        <v>213</v>
      </c>
      <c r="B1" s="27"/>
      <c r="C1" s="27"/>
      <c r="D1" s="27"/>
      <c r="E1" s="27"/>
      <c r="F1" s="27"/>
      <c r="G1" s="131"/>
      <c r="I1" s="77"/>
      <c r="J1" s="24"/>
    </row>
    <row r="2" spans="1:11" s="173" customFormat="1" ht="14" customHeight="1" thickBot="1" x14ac:dyDescent="0.2">
      <c r="A2" s="17"/>
      <c r="B2" s="26"/>
      <c r="C2" s="26"/>
      <c r="D2" s="174"/>
      <c r="E2" s="174"/>
      <c r="F2" s="174"/>
      <c r="H2" s="33"/>
      <c r="I2" s="33"/>
      <c r="J2" s="33"/>
    </row>
    <row r="3" spans="1:11" s="173" customFormat="1" ht="14" customHeight="1" thickBot="1" x14ac:dyDescent="0.2">
      <c r="A3" s="186" t="s">
        <v>357</v>
      </c>
      <c r="B3" s="257">
        <f>Q!C47</f>
        <v>0</v>
      </c>
      <c r="D3" s="57"/>
      <c r="E3" s="57"/>
      <c r="F3" s="57"/>
    </row>
    <row r="4" spans="1:11" s="173" customFormat="1" ht="14" customHeight="1" x14ac:dyDescent="0.15">
      <c r="A4" s="17"/>
      <c r="B4" s="26"/>
      <c r="C4" s="26"/>
      <c r="D4" s="174"/>
      <c r="E4" s="174"/>
      <c r="F4" s="174"/>
      <c r="G4" s="174"/>
      <c r="H4" s="22"/>
      <c r="I4" s="22"/>
      <c r="J4" s="22"/>
    </row>
    <row r="5" spans="1:11" s="48" customFormat="1" ht="26" x14ac:dyDescent="0.15">
      <c r="A5" s="233" t="s">
        <v>216</v>
      </c>
      <c r="B5" s="245" t="s">
        <v>0</v>
      </c>
      <c r="C5" s="246" t="s">
        <v>47</v>
      </c>
      <c r="D5" s="235" t="s">
        <v>5</v>
      </c>
      <c r="E5" s="234" t="s">
        <v>2</v>
      </c>
      <c r="F5" s="234" t="s">
        <v>3</v>
      </c>
      <c r="G5" s="235" t="s">
        <v>125</v>
      </c>
      <c r="H5" s="236" t="s">
        <v>31</v>
      </c>
      <c r="I5" s="235" t="s">
        <v>126</v>
      </c>
      <c r="J5" s="134"/>
    </row>
    <row r="6" spans="1:11" s="173" customFormat="1" ht="14" customHeight="1" x14ac:dyDescent="0.15">
      <c r="A6" s="53" t="s">
        <v>436</v>
      </c>
      <c r="B6" s="26"/>
      <c r="D6" s="828"/>
      <c r="E6" s="174"/>
      <c r="F6" s="174"/>
      <c r="G6" s="831"/>
      <c r="H6" s="253"/>
      <c r="I6" s="831"/>
      <c r="J6" s="10"/>
    </row>
    <row r="7" spans="1:11" s="173" customFormat="1" ht="14" customHeight="1" x14ac:dyDescent="0.15">
      <c r="A7" s="113" t="s">
        <v>530</v>
      </c>
      <c r="B7" s="116">
        <f>'2neighborhood'!F62</f>
        <v>50</v>
      </c>
      <c r="C7" s="63">
        <f>Q!G47</f>
        <v>0</v>
      </c>
      <c r="D7" s="825">
        <f>B7*C7</f>
        <v>0</v>
      </c>
      <c r="E7" s="1417">
        <f t="shared" ref="E7:F9" si="0">E8</f>
        <v>0</v>
      </c>
      <c r="F7" s="1415">
        <f t="shared" si="0"/>
        <v>0</v>
      </c>
      <c r="G7" s="1416">
        <f t="shared" ref="G7:G16" si="1">D7*(1+E7)*(1+F7)</f>
        <v>0</v>
      </c>
      <c r="H7" s="1415">
        <f>H10</f>
        <v>0.1</v>
      </c>
      <c r="I7" s="1416">
        <f t="shared" ref="I7:I9" si="2">G7*(1+H7)</f>
        <v>0</v>
      </c>
      <c r="J7" s="6"/>
    </row>
    <row r="8" spans="1:11" s="173" customFormat="1" ht="14" customHeight="1" x14ac:dyDescent="0.15">
      <c r="A8" s="113" t="s">
        <v>531</v>
      </c>
      <c r="B8" s="168">
        <f>'3lcluster_local_2level'!B8</f>
        <v>0.5</v>
      </c>
      <c r="D8" s="825">
        <f>-D7*B8</f>
        <v>0</v>
      </c>
      <c r="E8" s="1417">
        <f t="shared" si="0"/>
        <v>0</v>
      </c>
      <c r="F8" s="1415">
        <f t="shared" si="0"/>
        <v>0</v>
      </c>
      <c r="G8" s="1416">
        <f t="shared" si="1"/>
        <v>0</v>
      </c>
      <c r="H8" s="1415">
        <f>H10</f>
        <v>0.1</v>
      </c>
      <c r="I8" s="1416">
        <f t="shared" si="2"/>
        <v>0</v>
      </c>
      <c r="J8" s="6"/>
    </row>
    <row r="9" spans="1:11" s="173" customFormat="1" ht="14" customHeight="1" x14ac:dyDescent="0.15">
      <c r="A9" s="76" t="s">
        <v>181</v>
      </c>
      <c r="B9" s="116">
        <f>'2neighborhood'!F68</f>
        <v>15</v>
      </c>
      <c r="C9" s="63">
        <f>Q!O28</f>
        <v>0</v>
      </c>
      <c r="D9" s="825">
        <f>B9*C9</f>
        <v>0</v>
      </c>
      <c r="E9" s="1417">
        <f t="shared" si="0"/>
        <v>0</v>
      </c>
      <c r="F9" s="1415">
        <f t="shared" si="0"/>
        <v>0</v>
      </c>
      <c r="G9" s="1416">
        <f t="shared" si="1"/>
        <v>0</v>
      </c>
      <c r="H9" s="1415">
        <f>H10</f>
        <v>0.1</v>
      </c>
      <c r="I9" s="1416">
        <f t="shared" si="2"/>
        <v>0</v>
      </c>
      <c r="J9" s="28"/>
    </row>
    <row r="10" spans="1:11" s="10" customFormat="1" ht="14" customHeight="1" x14ac:dyDescent="0.15">
      <c r="A10" s="112" t="s">
        <v>135</v>
      </c>
      <c r="B10" s="117"/>
      <c r="C10" s="117"/>
      <c r="D10" s="829">
        <f>SUM(D7:D9)</f>
        <v>0</v>
      </c>
      <c r="E10" s="172">
        <f>'3lcluster_local_2level'!E10</f>
        <v>0</v>
      </c>
      <c r="F10" s="172">
        <f>'3lcluster_local_2level'!F10</f>
        <v>0</v>
      </c>
      <c r="G10" s="832">
        <f t="shared" si="1"/>
        <v>0</v>
      </c>
      <c r="H10" s="172">
        <v>0.1</v>
      </c>
      <c r="I10" s="832">
        <f>G10*(1+H10)</f>
        <v>0</v>
      </c>
      <c r="J10" s="6"/>
    </row>
    <row r="11" spans="1:11" ht="14" customHeight="1" x14ac:dyDescent="0.15">
      <c r="A11" s="111" t="s">
        <v>85</v>
      </c>
      <c r="B11" s="171">
        <f>'3lcluster_local_2level'!B11</f>
        <v>150</v>
      </c>
      <c r="C11" s="138">
        <f>Q!D47</f>
        <v>0</v>
      </c>
      <c r="D11" s="825">
        <f>B11*C11</f>
        <v>0</v>
      </c>
      <c r="E11" s="1417">
        <f t="shared" ref="E11:F15" si="3">E12</f>
        <v>0.05</v>
      </c>
      <c r="F11" s="1415">
        <f t="shared" si="3"/>
        <v>0.1</v>
      </c>
      <c r="G11" s="1416">
        <f t="shared" si="1"/>
        <v>0</v>
      </c>
      <c r="H11" s="1415">
        <f>H10</f>
        <v>0.1</v>
      </c>
      <c r="I11" s="1416">
        <f t="shared" ref="I11:I15" si="4">G11*(1+H11)</f>
        <v>0</v>
      </c>
      <c r="J11" s="6"/>
      <c r="K11" s="6"/>
    </row>
    <row r="12" spans="1:11" ht="14" customHeight="1" x14ac:dyDescent="0.15">
      <c r="A12" s="111" t="s">
        <v>141</v>
      </c>
      <c r="B12" s="166">
        <f>'3lcluster_local_2level'!B12</f>
        <v>300</v>
      </c>
      <c r="C12" s="67">
        <f>Q!X28</f>
        <v>0</v>
      </c>
      <c r="D12" s="825">
        <f>B12*C12</f>
        <v>0</v>
      </c>
      <c r="E12" s="1417">
        <f t="shared" si="3"/>
        <v>0.05</v>
      </c>
      <c r="F12" s="1415">
        <f t="shared" si="3"/>
        <v>0.1</v>
      </c>
      <c r="G12" s="1416">
        <f t="shared" si="1"/>
        <v>0</v>
      </c>
      <c r="H12" s="1415">
        <f>H10</f>
        <v>0.1</v>
      </c>
      <c r="I12" s="1416">
        <f t="shared" si="4"/>
        <v>0</v>
      </c>
      <c r="J12" s="6"/>
      <c r="K12" s="6"/>
    </row>
    <row r="13" spans="1:11" s="173" customFormat="1" ht="14" customHeight="1" x14ac:dyDescent="0.15">
      <c r="A13" s="98" t="s">
        <v>84</v>
      </c>
      <c r="B13" s="626">
        <f>'3lcluster_local_2level'!B13</f>
        <v>20</v>
      </c>
      <c r="C13" s="63">
        <f>Q!I47</f>
        <v>0</v>
      </c>
      <c r="D13" s="825">
        <f>B13*C13</f>
        <v>0</v>
      </c>
      <c r="E13" s="1417">
        <f t="shared" si="3"/>
        <v>0.05</v>
      </c>
      <c r="F13" s="1415">
        <f t="shared" si="3"/>
        <v>0.1</v>
      </c>
      <c r="G13" s="1416">
        <f t="shared" si="1"/>
        <v>0</v>
      </c>
      <c r="H13" s="1415">
        <f>H10</f>
        <v>0.1</v>
      </c>
      <c r="I13" s="1416">
        <f t="shared" si="4"/>
        <v>0</v>
      </c>
      <c r="J13" s="28"/>
    </row>
    <row r="14" spans="1:11" s="173" customFormat="1" ht="14" customHeight="1" x14ac:dyDescent="0.15">
      <c r="A14" s="97" t="s">
        <v>83</v>
      </c>
      <c r="C14" s="633" t="s">
        <v>457</v>
      </c>
      <c r="D14" s="835">
        <f>'3lcluster_local_2level'!D14</f>
        <v>0</v>
      </c>
      <c r="E14" s="1417">
        <f t="shared" si="3"/>
        <v>0.05</v>
      </c>
      <c r="F14" s="1415">
        <f t="shared" si="3"/>
        <v>0.1</v>
      </c>
      <c r="G14" s="1416">
        <f t="shared" si="1"/>
        <v>0</v>
      </c>
      <c r="H14" s="1415">
        <f>H10</f>
        <v>0.1</v>
      </c>
      <c r="I14" s="1416">
        <f t="shared" si="4"/>
        <v>0</v>
      </c>
      <c r="J14" s="6"/>
    </row>
    <row r="15" spans="1:11" s="173" customFormat="1" ht="14" customHeight="1" x14ac:dyDescent="0.15">
      <c r="A15" s="90" t="s">
        <v>87</v>
      </c>
      <c r="B15" s="26"/>
      <c r="C15" s="26"/>
      <c r="D15" s="835">
        <f>'3lcluster_local_2level'!D15</f>
        <v>0</v>
      </c>
      <c r="E15" s="1417">
        <f t="shared" si="3"/>
        <v>0.05</v>
      </c>
      <c r="F15" s="1415">
        <f t="shared" si="3"/>
        <v>0.1</v>
      </c>
      <c r="G15" s="1416">
        <f t="shared" si="1"/>
        <v>0</v>
      </c>
      <c r="H15" s="1415">
        <f>H10</f>
        <v>0.1</v>
      </c>
      <c r="I15" s="1416">
        <f t="shared" si="4"/>
        <v>0</v>
      </c>
      <c r="J15" s="6"/>
    </row>
    <row r="16" spans="1:11" s="10" customFormat="1" ht="14" customHeight="1" x14ac:dyDescent="0.15">
      <c r="A16" s="112" t="s">
        <v>88</v>
      </c>
      <c r="B16" s="117"/>
      <c r="C16" s="117"/>
      <c r="D16" s="829">
        <f>SUM(D11:D15)</f>
        <v>0</v>
      </c>
      <c r="E16" s="172">
        <f>'3lcluster_local_2level'!E16</f>
        <v>0.05</v>
      </c>
      <c r="F16" s="172">
        <f>'3lcluster_local_2level'!F16</f>
        <v>0.1</v>
      </c>
      <c r="G16" s="832">
        <f t="shared" si="1"/>
        <v>0</v>
      </c>
      <c r="H16" s="187">
        <f>H10</f>
        <v>0.1</v>
      </c>
      <c r="I16" s="832">
        <f>G16*(1+H16)</f>
        <v>0</v>
      </c>
      <c r="J16" s="6"/>
    </row>
    <row r="17" spans="1:16" s="33" customFormat="1" ht="14" customHeight="1" x14ac:dyDescent="0.15">
      <c r="A17" s="239" t="s">
        <v>489</v>
      </c>
      <c r="B17" s="240"/>
      <c r="C17" s="241"/>
      <c r="D17" s="830">
        <f>D16+D10</f>
        <v>0</v>
      </c>
      <c r="E17" s="243"/>
      <c r="F17" s="243"/>
      <c r="G17" s="830">
        <f>G16+G10</f>
        <v>0</v>
      </c>
      <c r="H17" s="244"/>
      <c r="I17" s="830">
        <f>I16+I10</f>
        <v>0</v>
      </c>
      <c r="J17" s="28"/>
    </row>
    <row r="18" spans="1:16" s="173" customFormat="1" ht="14" customHeight="1" x14ac:dyDescent="0.15">
      <c r="A18" s="17"/>
      <c r="B18" s="26"/>
      <c r="C18" s="26"/>
      <c r="D18" s="174"/>
      <c r="E18" s="174"/>
      <c r="F18" s="174"/>
      <c r="G18" s="174"/>
      <c r="I18" s="831"/>
      <c r="J18" s="6"/>
    </row>
    <row r="19" spans="1:16" s="1" customFormat="1" ht="29" customHeight="1" x14ac:dyDescent="0.15">
      <c r="A19" s="248" t="s">
        <v>215</v>
      </c>
      <c r="B19" s="249" t="s">
        <v>210</v>
      </c>
      <c r="C19" s="1518" t="s">
        <v>527</v>
      </c>
      <c r="D19" s="1518"/>
      <c r="E19" s="1518"/>
      <c r="F19" s="250" t="s">
        <v>53</v>
      </c>
      <c r="G19" s="249" t="s">
        <v>203</v>
      </c>
      <c r="H19" s="249" t="s">
        <v>454</v>
      </c>
      <c r="I19" s="833" t="s">
        <v>204</v>
      </c>
      <c r="J19" s="33"/>
    </row>
    <row r="20" spans="1:16" s="173" customFormat="1" ht="14" customHeight="1" x14ac:dyDescent="0.15">
      <c r="A20" s="53" t="s">
        <v>436</v>
      </c>
      <c r="B20" s="26"/>
      <c r="D20" s="828"/>
      <c r="E20" s="174"/>
      <c r="F20" s="174"/>
      <c r="G20" s="831"/>
      <c r="H20" s="253"/>
      <c r="I20" s="831"/>
      <c r="J20" s="10"/>
    </row>
    <row r="21" spans="1:16" s="173" customFormat="1" ht="14" customHeight="1" x14ac:dyDescent="0.15">
      <c r="A21" s="98" t="s">
        <v>199</v>
      </c>
      <c r="B21" s="62">
        <f>(Q!H47+Q!I47)</f>
        <v>0</v>
      </c>
      <c r="C21" s="1519" t="s">
        <v>455</v>
      </c>
      <c r="D21" s="1519"/>
      <c r="E21" s="1519"/>
      <c r="F21" s="174"/>
      <c r="G21" s="22"/>
      <c r="H21" s="174"/>
      <c r="I21" s="828"/>
      <c r="J21" s="6"/>
    </row>
    <row r="22" spans="1:16" ht="14" customHeight="1" x14ac:dyDescent="0.15">
      <c r="A22" s="855">
        <f>IF(B23=0,0,I17/B23)</f>
        <v>0</v>
      </c>
      <c r="B22" s="854"/>
      <c r="C22" s="854"/>
      <c r="D22" s="854"/>
      <c r="E22" s="760"/>
      <c r="F22" s="6"/>
      <c r="G22" s="99"/>
      <c r="H22" s="630"/>
      <c r="I22" s="827"/>
      <c r="J22" s="6"/>
      <c r="K22" s="823"/>
      <c r="L22" s="824"/>
      <c r="N22" s="1"/>
      <c r="O22" s="1"/>
      <c r="P22" s="173"/>
    </row>
    <row r="23" spans="1:16" ht="14" customHeight="1" x14ac:dyDescent="0.15">
      <c r="A23" s="76" t="s">
        <v>200</v>
      </c>
      <c r="B23" s="62">
        <f>C9-B21</f>
        <v>0</v>
      </c>
      <c r="C23" s="1519" t="str">
        <f>'2neighborhood'!C68</f>
        <v xml:space="preserve">Small-scale livelihoods, residential </v>
      </c>
      <c r="D23" s="1519"/>
      <c r="E23" s="1519"/>
      <c r="F23" s="632">
        <f>Q!AM28</f>
        <v>0</v>
      </c>
      <c r="G23" s="627">
        <v>45</v>
      </c>
      <c r="H23" s="745">
        <f>IF(B23=0,0,IF(I17=0,0,G23/(I17/B23)-1))</f>
        <v>0</v>
      </c>
      <c r="I23" s="821">
        <f>G23*B23</f>
        <v>0</v>
      </c>
      <c r="J23" s="6"/>
      <c r="K23" s="6"/>
    </row>
    <row r="24" spans="1:16" ht="14" customHeight="1" x14ac:dyDescent="0.15">
      <c r="A24" s="97" t="s">
        <v>83</v>
      </c>
      <c r="B24" s="19"/>
      <c r="C24" s="1519" t="s">
        <v>208</v>
      </c>
      <c r="D24" s="1519"/>
      <c r="E24" s="1519"/>
      <c r="F24" s="19"/>
      <c r="G24" s="19"/>
      <c r="H24" s="747"/>
      <c r="I24" s="819">
        <f>'3lcluster_local_2level'!I38</f>
        <v>0</v>
      </c>
      <c r="J24" s="6"/>
      <c r="K24" s="6"/>
    </row>
    <row r="25" spans="1:16" ht="14" customHeight="1" x14ac:dyDescent="0.15">
      <c r="A25" s="251" t="s">
        <v>207</v>
      </c>
      <c r="B25" s="19"/>
      <c r="C25" s="1519"/>
      <c r="D25" s="1519"/>
      <c r="E25" s="1519"/>
      <c r="F25" s="19"/>
      <c r="G25" s="19"/>
      <c r="H25" s="6"/>
      <c r="I25" s="819">
        <f>'3lcluster_local_2level'!I39</f>
        <v>0</v>
      </c>
      <c r="K25" s="6"/>
    </row>
    <row r="26" spans="1:16" s="33" customFormat="1" ht="14" customHeight="1" x14ac:dyDescent="0.15">
      <c r="A26" s="239" t="s">
        <v>488</v>
      </c>
      <c r="B26" s="240"/>
      <c r="C26" s="241"/>
      <c r="D26" s="242">
        <f>D23+D15</f>
        <v>0</v>
      </c>
      <c r="E26" s="243"/>
      <c r="F26" s="243"/>
      <c r="G26" s="244"/>
      <c r="H26" s="749">
        <f>H23</f>
        <v>0</v>
      </c>
      <c r="I26" s="830">
        <f>SUM(I21:I25)</f>
        <v>0</v>
      </c>
      <c r="J26" s="5"/>
    </row>
    <row r="27" spans="1:16" s="173" customFormat="1" ht="14" customHeight="1" x14ac:dyDescent="0.15">
      <c r="A27" s="17"/>
      <c r="B27" s="26"/>
      <c r="E27" s="174"/>
      <c r="F27" s="174"/>
      <c r="G27" s="174"/>
      <c r="H27" s="22"/>
      <c r="I27" s="831"/>
      <c r="J27" s="5"/>
    </row>
    <row r="28" spans="1:16" s="22" customFormat="1" ht="14" customHeight="1" x14ac:dyDescent="0.15">
      <c r="A28" s="8" t="s">
        <v>487</v>
      </c>
      <c r="B28" s="44"/>
      <c r="C28" s="44"/>
      <c r="D28" s="100"/>
      <c r="E28" s="101"/>
      <c r="F28" s="56"/>
      <c r="G28" s="44"/>
      <c r="H28" s="232" t="s">
        <v>194</v>
      </c>
      <c r="I28" s="822">
        <f>I26-I17</f>
        <v>0</v>
      </c>
      <c r="J28" s="33"/>
    </row>
    <row r="29" spans="1:16" s="2" customFormat="1" ht="14" customHeight="1" x14ac:dyDescent="0.15">
      <c r="A29" s="412"/>
      <c r="B29" s="412"/>
      <c r="C29" s="413"/>
      <c r="D29" s="414"/>
      <c r="E29" s="415"/>
      <c r="F29" s="413"/>
      <c r="G29" s="413"/>
      <c r="H29" s="417" t="s">
        <v>209</v>
      </c>
      <c r="I29" s="418">
        <f>IF(I17=0,0,I28/I17)</f>
        <v>0</v>
      </c>
      <c r="K29" s="33"/>
      <c r="L29" s="33"/>
      <c r="M29" s="33"/>
    </row>
    <row r="30" spans="1:16" s="22" customFormat="1" ht="14" customHeight="1" x14ac:dyDescent="0.15">
      <c r="A30" s="43"/>
      <c r="B30" s="43"/>
      <c r="C30" s="28"/>
      <c r="D30" s="28"/>
      <c r="E30" s="28"/>
      <c r="H30" s="46"/>
      <c r="I30" s="42"/>
      <c r="J30" s="5"/>
      <c r="K30" s="173"/>
      <c r="L30" s="173"/>
      <c r="M30" s="173"/>
    </row>
    <row r="31" spans="1:16" s="22" customFormat="1" ht="14" customHeight="1" x14ac:dyDescent="0.15">
      <c r="A31" s="43"/>
      <c r="B31" s="43"/>
      <c r="C31" s="28"/>
      <c r="D31" s="28"/>
      <c r="E31" s="28"/>
      <c r="H31" s="46"/>
      <c r="I31" s="42"/>
      <c r="J31" s="2"/>
    </row>
    <row r="32" spans="1:16" ht="14" customHeight="1" x14ac:dyDescent="0.15">
      <c r="A32" s="64" t="s">
        <v>48</v>
      </c>
      <c r="J32" s="2"/>
    </row>
    <row r="33" spans="1:13" ht="14" customHeight="1" x14ac:dyDescent="0.15">
      <c r="A33" s="161" t="s">
        <v>154</v>
      </c>
      <c r="J33" s="1"/>
    </row>
    <row r="34" spans="1:13" ht="14" customHeight="1" x14ac:dyDescent="0.15">
      <c r="A34" s="53" t="s">
        <v>45</v>
      </c>
      <c r="J34" s="208"/>
    </row>
    <row r="35" spans="1:13" ht="14" customHeight="1" x14ac:dyDescent="0.15">
      <c r="A35" s="53" t="s">
        <v>46</v>
      </c>
      <c r="J35" s="229"/>
    </row>
    <row r="36" spans="1:13" ht="14" customHeight="1" x14ac:dyDescent="0.15">
      <c r="A36" s="53" t="s">
        <v>552</v>
      </c>
      <c r="B36" s="17"/>
      <c r="C36" s="5"/>
      <c r="D36" s="5"/>
      <c r="E36" s="227"/>
      <c r="F36" s="227"/>
      <c r="G36" s="5"/>
      <c r="H36" s="5"/>
      <c r="I36" s="5"/>
      <c r="J36" s="2"/>
      <c r="L36"/>
      <c r="M36" s="5"/>
    </row>
    <row r="37" spans="1:13" ht="14" customHeight="1" x14ac:dyDescent="0.15">
      <c r="A37" s="39" t="s">
        <v>164</v>
      </c>
      <c r="J37" s="2"/>
    </row>
    <row r="38" spans="1:13" ht="14" customHeight="1" x14ac:dyDescent="0.15">
      <c r="J38" s="2"/>
    </row>
    <row r="39" spans="1:13" ht="14" customHeight="1" x14ac:dyDescent="0.15">
      <c r="A39" s="30" t="str">
        <f>"@Matt, for FAR use permitted vs. viable FAR calculated from the spatial model? Only consider private lands for this calculation to calibrate opportunity costs of public lands..."</f>
        <v>@Matt, for FAR use permitted vs. viable FAR calculated from the spatial model? Only consider private lands for this calculation to calibrate opportunity costs of public lands...</v>
      </c>
      <c r="J39" s="2"/>
    </row>
    <row r="40" spans="1:13" ht="14" customHeight="1" x14ac:dyDescent="0.15">
      <c r="J40" s="2"/>
    </row>
    <row r="41" spans="1:13" ht="14" customHeight="1" x14ac:dyDescent="0.15">
      <c r="J41" s="208"/>
    </row>
    <row r="42" spans="1:13" ht="14" customHeight="1" x14ac:dyDescent="0.15">
      <c r="J42" s="6"/>
    </row>
    <row r="43" spans="1:13" ht="14" customHeight="1" x14ac:dyDescent="0.15">
      <c r="J43"/>
    </row>
    <row r="44" spans="1:13" ht="14" customHeight="1" x14ac:dyDescent="0.15">
      <c r="J44" s="88"/>
    </row>
    <row r="45" spans="1:13" ht="14" customHeight="1" x14ac:dyDescent="0.15">
      <c r="J45" s="88"/>
    </row>
    <row r="46" spans="1:13" ht="14" customHeight="1" x14ac:dyDescent="0.15">
      <c r="J46" s="88"/>
    </row>
    <row r="47" spans="1:13" ht="14" customHeight="1" x14ac:dyDescent="0.15">
      <c r="J47" s="88"/>
    </row>
    <row r="48" spans="1:13" ht="14" customHeight="1" x14ac:dyDescent="0.15">
      <c r="J48" s="1"/>
    </row>
    <row r="49" spans="10:10" ht="14" customHeight="1" x14ac:dyDescent="0.15">
      <c r="J49" s="28"/>
    </row>
    <row r="50" spans="10:10" ht="14" customHeight="1" x14ac:dyDescent="0.15">
      <c r="J50" s="28"/>
    </row>
    <row r="51" spans="10:10" ht="14" customHeight="1" x14ac:dyDescent="0.15">
      <c r="J51" s="6"/>
    </row>
    <row r="52" spans="10:10" ht="14" customHeight="1" x14ac:dyDescent="0.15">
      <c r="J52" s="6"/>
    </row>
    <row r="53" spans="10:10" ht="14" customHeight="1" x14ac:dyDescent="0.15">
      <c r="J53" s="6"/>
    </row>
    <row r="54" spans="10:10" ht="14" customHeight="1" x14ac:dyDescent="0.15">
      <c r="J54" s="6"/>
    </row>
    <row r="55" spans="10:10" ht="14" customHeight="1" x14ac:dyDescent="0.15">
      <c r="J55" s="6"/>
    </row>
    <row r="56" spans="10:10" ht="14" customHeight="1" x14ac:dyDescent="0.15">
      <c r="J56" s="10"/>
    </row>
    <row r="57" spans="10:10" ht="14" customHeight="1" x14ac:dyDescent="0.15">
      <c r="J57" s="6"/>
    </row>
    <row r="58" spans="10:10" ht="14" customHeight="1" x14ac:dyDescent="0.15">
      <c r="J58" s="6"/>
    </row>
    <row r="59" spans="10:10" ht="14" customHeight="1" x14ac:dyDescent="0.15">
      <c r="J59" s="6"/>
    </row>
    <row r="60" spans="10:10" ht="14" customHeight="1" x14ac:dyDescent="0.15">
      <c r="J60" s="6"/>
    </row>
    <row r="61" spans="10:10" ht="14" customHeight="1" x14ac:dyDescent="0.15">
      <c r="J61" s="10"/>
    </row>
    <row r="62" spans="10:10" ht="14" customHeight="1" x14ac:dyDescent="0.15">
      <c r="J62" s="6"/>
    </row>
    <row r="63" spans="10:10" ht="14" customHeight="1" x14ac:dyDescent="0.15">
      <c r="J63" s="6"/>
    </row>
    <row r="64" spans="10:10" ht="14" customHeight="1" x14ac:dyDescent="0.15">
      <c r="J64" s="6"/>
    </row>
    <row r="65" spans="10:10" ht="14" customHeight="1" x14ac:dyDescent="0.15">
      <c r="J65" s="6"/>
    </row>
    <row r="66" spans="10:10" ht="14" customHeight="1" x14ac:dyDescent="0.15">
      <c r="J66" s="28"/>
    </row>
    <row r="67" spans="10:10" ht="14" customHeight="1" x14ac:dyDescent="0.15">
      <c r="J67" s="28"/>
    </row>
    <row r="68" spans="10:10" ht="14" customHeight="1" x14ac:dyDescent="0.15">
      <c r="J68" s="6"/>
    </row>
    <row r="69" spans="10:10" ht="14" customHeight="1" x14ac:dyDescent="0.15">
      <c r="J69" s="6"/>
    </row>
    <row r="70" spans="10:10" ht="14" customHeight="1" x14ac:dyDescent="0.15">
      <c r="J70" s="6"/>
    </row>
    <row r="71" spans="10:10" ht="14" customHeight="1" x14ac:dyDescent="0.15">
      <c r="J71" s="6"/>
    </row>
    <row r="72" spans="10:10" ht="14" customHeight="1" x14ac:dyDescent="0.15">
      <c r="J72" s="28"/>
    </row>
    <row r="73" spans="10:10" ht="14" customHeight="1" x14ac:dyDescent="0.15">
      <c r="J73" s="6"/>
    </row>
    <row r="74" spans="10:10" ht="14" customHeight="1" x14ac:dyDescent="0.15">
      <c r="J74" s="10"/>
    </row>
    <row r="75" spans="10:10" ht="14" customHeight="1" x14ac:dyDescent="0.15">
      <c r="J75" s="6"/>
    </row>
    <row r="76" spans="10:10" ht="14" customHeight="1" x14ac:dyDescent="0.15">
      <c r="J76" s="33"/>
    </row>
    <row r="77" spans="10:10" ht="14" customHeight="1" x14ac:dyDescent="0.15">
      <c r="J77" s="33"/>
    </row>
    <row r="78" spans="10:10" ht="14" customHeight="1" x14ac:dyDescent="0.15">
      <c r="J78" s="22"/>
    </row>
    <row r="79" spans="10:10" ht="14" customHeight="1" x14ac:dyDescent="0.15">
      <c r="J79" s="28"/>
    </row>
    <row r="80" spans="10:10" ht="14" customHeight="1" x14ac:dyDescent="0.15">
      <c r="J80" s="22"/>
    </row>
    <row r="81" spans="10:10" ht="14" customHeight="1" x14ac:dyDescent="0.15">
      <c r="J81" s="2"/>
    </row>
    <row r="82" spans="10:10" ht="14" customHeight="1" x14ac:dyDescent="0.15">
      <c r="J82" s="28"/>
    </row>
    <row r="83" spans="10:10" ht="14" customHeight="1" x14ac:dyDescent="0.15">
      <c r="J83" s="420"/>
    </row>
    <row r="84" spans="10:10" ht="14" customHeight="1" x14ac:dyDescent="0.15">
      <c r="J84" s="28"/>
    </row>
    <row r="85" spans="10:10" ht="14" customHeight="1" x14ac:dyDescent="0.15">
      <c r="J85" s="6"/>
    </row>
    <row r="87" spans="10:10" ht="14" customHeight="1" x14ac:dyDescent="0.15">
      <c r="J87" s="6"/>
    </row>
    <row r="88" spans="10:10" ht="14" customHeight="1" x14ac:dyDescent="0.15">
      <c r="J88" s="6"/>
    </row>
    <row r="89" spans="10:10" ht="14" customHeight="1" x14ac:dyDescent="0.15">
      <c r="J89" s="6"/>
    </row>
  </sheetData>
  <sheetProtection selectLockedCells="1"/>
  <mergeCells count="5">
    <mergeCell ref="C25:E25"/>
    <mergeCell ref="C19:E19"/>
    <mergeCell ref="C21:E21"/>
    <mergeCell ref="C23:E23"/>
    <mergeCell ref="C24:E24"/>
  </mergeCells>
  <printOptions headings="1"/>
  <pageMargins left="0.7" right="0.7" top="0.75" bottom="0.75" header="0.3" footer="0.3"/>
  <pageSetup paperSize="9" scale="73" fitToWidth="0" fitToHeight="5" orientation="landscape" horizontalDpi="4294967292" verticalDpi="4294967292" r:id="rId1"/>
  <headerFooter>
    <oddHeader>&amp;R&amp;K000000&amp;A
Page &amp;P of &amp;N</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5A617-79B1-4D45-B933-B7990714E309}">
  <sheetPr>
    <tabColor theme="6" tint="0.39997558519241921"/>
  </sheetPr>
  <dimension ref="A1:P92"/>
  <sheetViews>
    <sheetView zoomScale="200" zoomScaleNormal="200" workbookViewId="0">
      <selection activeCell="B43" sqref="B43"/>
    </sheetView>
  </sheetViews>
  <sheetFormatPr baseColWidth="10" defaultColWidth="10.6640625" defaultRowHeight="14" customHeight="1" x14ac:dyDescent="0.15"/>
  <cols>
    <col min="1" max="1" width="35.33203125" style="17" customWidth="1"/>
    <col min="2" max="9" width="12.83203125" style="26" customWidth="1"/>
    <col min="10" max="10" width="1.33203125" style="5" customWidth="1"/>
    <col min="12" max="16384" width="10.6640625" style="6"/>
  </cols>
  <sheetData>
    <row r="1" spans="1:11" s="2" customFormat="1" ht="14" customHeight="1" x14ac:dyDescent="0.15">
      <c r="A1" s="23" t="s">
        <v>213</v>
      </c>
      <c r="B1" s="27"/>
      <c r="C1" s="27"/>
      <c r="D1" s="27"/>
      <c r="E1" s="27"/>
      <c r="F1" s="27"/>
      <c r="G1" s="131"/>
      <c r="I1" s="77"/>
      <c r="J1" s="24"/>
    </row>
    <row r="2" spans="1:11" s="173" customFormat="1" ht="14" customHeight="1" thickBot="1" x14ac:dyDescent="0.2">
      <c r="A2" s="17"/>
      <c r="B2" s="26"/>
      <c r="C2" s="26"/>
      <c r="D2" s="174"/>
      <c r="E2" s="174"/>
      <c r="F2" s="174"/>
      <c r="G2" s="174"/>
      <c r="H2" s="33"/>
      <c r="I2" s="33"/>
      <c r="J2" s="33"/>
    </row>
    <row r="3" spans="1:11" s="173" customFormat="1" ht="14" customHeight="1" thickBot="1" x14ac:dyDescent="0.2">
      <c r="A3" s="258" t="s">
        <v>358</v>
      </c>
      <c r="B3" s="259">
        <f>Q!C48</f>
        <v>0</v>
      </c>
      <c r="D3" s="57"/>
      <c r="E3" s="57"/>
      <c r="F3" s="57"/>
      <c r="G3" s="57"/>
    </row>
    <row r="4" spans="1:11" s="173" customFormat="1" ht="14" customHeight="1" x14ac:dyDescent="0.15">
      <c r="A4" s="17"/>
      <c r="B4" s="26"/>
      <c r="E4" s="174"/>
      <c r="F4" s="174"/>
      <c r="G4" s="174"/>
      <c r="H4" s="22"/>
      <c r="I4" s="22"/>
      <c r="J4" s="22"/>
    </row>
    <row r="5" spans="1:11" s="48" customFormat="1" ht="26" x14ac:dyDescent="0.15">
      <c r="A5" s="233" t="s">
        <v>216</v>
      </c>
      <c r="B5" s="245" t="s">
        <v>0</v>
      </c>
      <c r="C5" s="246" t="s">
        <v>47</v>
      </c>
      <c r="D5" s="235" t="s">
        <v>5</v>
      </c>
      <c r="E5" s="234" t="s">
        <v>2</v>
      </c>
      <c r="F5" s="234" t="s">
        <v>3</v>
      </c>
      <c r="G5" s="235" t="s">
        <v>125</v>
      </c>
      <c r="H5" s="236" t="s">
        <v>31</v>
      </c>
      <c r="I5" s="235" t="s">
        <v>126</v>
      </c>
      <c r="J5" s="5"/>
    </row>
    <row r="6" spans="1:11" s="173" customFormat="1" ht="14" customHeight="1" x14ac:dyDescent="0.15">
      <c r="A6" s="53" t="s">
        <v>652</v>
      </c>
      <c r="B6" s="26"/>
      <c r="D6" s="828"/>
      <c r="E6" s="174"/>
      <c r="F6" s="174"/>
      <c r="G6" s="831"/>
      <c r="H6" s="253"/>
      <c r="I6" s="831"/>
      <c r="J6" s="134"/>
    </row>
    <row r="7" spans="1:11" s="173" customFormat="1" ht="14" customHeight="1" x14ac:dyDescent="0.15">
      <c r="A7" s="113" t="s">
        <v>530</v>
      </c>
      <c r="B7" s="116">
        <f>'2neighborhood'!F62</f>
        <v>50</v>
      </c>
      <c r="C7" s="63">
        <f>Q!G48</f>
        <v>0</v>
      </c>
      <c r="D7" s="825">
        <f>B7*C7</f>
        <v>0</v>
      </c>
      <c r="E7" s="1417">
        <f t="shared" ref="E7:F9" si="0">E8</f>
        <v>0</v>
      </c>
      <c r="F7" s="1415">
        <f t="shared" si="0"/>
        <v>0</v>
      </c>
      <c r="G7" s="1416">
        <f t="shared" ref="G7:G16" si="1">D7*(1+E7)*(1+F7)</f>
        <v>0</v>
      </c>
      <c r="H7" s="1415">
        <f>H10</f>
        <v>0.1</v>
      </c>
      <c r="I7" s="1416">
        <f t="shared" ref="I7:I9" si="2">G7*(1+H7)</f>
        <v>0</v>
      </c>
      <c r="J7" s="6"/>
    </row>
    <row r="8" spans="1:11" s="173" customFormat="1" ht="14" customHeight="1" x14ac:dyDescent="0.15">
      <c r="A8" s="113" t="s">
        <v>531</v>
      </c>
      <c r="B8" s="168">
        <v>0.5</v>
      </c>
      <c r="C8" s="26"/>
      <c r="D8" s="825">
        <f>-D7*B8</f>
        <v>0</v>
      </c>
      <c r="E8" s="1417">
        <f t="shared" si="0"/>
        <v>0</v>
      </c>
      <c r="F8" s="1415">
        <f t="shared" si="0"/>
        <v>0</v>
      </c>
      <c r="G8" s="1416">
        <f t="shared" si="1"/>
        <v>0</v>
      </c>
      <c r="H8" s="1415">
        <f>H10</f>
        <v>0.1</v>
      </c>
      <c r="I8" s="1416">
        <f t="shared" si="2"/>
        <v>0</v>
      </c>
      <c r="J8" s="6"/>
    </row>
    <row r="9" spans="1:11" s="173" customFormat="1" ht="14" customHeight="1" x14ac:dyDescent="0.15">
      <c r="A9" s="76" t="s">
        <v>221</v>
      </c>
      <c r="B9" s="116">
        <f>'2neighborhood'!F68</f>
        <v>15</v>
      </c>
      <c r="C9" s="63">
        <f>Q!O29</f>
        <v>0</v>
      </c>
      <c r="D9" s="825">
        <f>B9*C9</f>
        <v>0</v>
      </c>
      <c r="E9" s="1417">
        <f t="shared" si="0"/>
        <v>0</v>
      </c>
      <c r="F9" s="1415">
        <f t="shared" si="0"/>
        <v>0</v>
      </c>
      <c r="G9" s="1416">
        <f t="shared" si="1"/>
        <v>0</v>
      </c>
      <c r="H9" s="1415">
        <f>H10</f>
        <v>0.1</v>
      </c>
      <c r="I9" s="1416">
        <f t="shared" si="2"/>
        <v>0</v>
      </c>
      <c r="J9" s="28"/>
    </row>
    <row r="10" spans="1:11" s="10" customFormat="1" ht="14" customHeight="1" x14ac:dyDescent="0.15">
      <c r="A10" s="112" t="s">
        <v>223</v>
      </c>
      <c r="B10" s="117"/>
      <c r="C10" s="117"/>
      <c r="D10" s="829">
        <f>SUM(D7:D9)</f>
        <v>0</v>
      </c>
      <c r="E10" s="172">
        <v>0</v>
      </c>
      <c r="F10" s="172">
        <v>0</v>
      </c>
      <c r="G10" s="834">
        <f t="shared" si="1"/>
        <v>0</v>
      </c>
      <c r="H10" s="172">
        <v>0.1</v>
      </c>
      <c r="I10" s="832">
        <f>G10*(1+H10)</f>
        <v>0</v>
      </c>
      <c r="J10" s="6"/>
    </row>
    <row r="11" spans="1:11" ht="14" customHeight="1" x14ac:dyDescent="0.15">
      <c r="A11" s="111" t="s">
        <v>85</v>
      </c>
      <c r="B11" s="171">
        <v>150</v>
      </c>
      <c r="C11" s="138">
        <f>Q!D48</f>
        <v>0</v>
      </c>
      <c r="D11" s="825">
        <f>B11*C11</f>
        <v>0</v>
      </c>
      <c r="E11" s="1417">
        <f t="shared" ref="E11:F15" si="3">E12</f>
        <v>0.05</v>
      </c>
      <c r="F11" s="1415">
        <f t="shared" si="3"/>
        <v>0.1</v>
      </c>
      <c r="G11" s="1416">
        <f t="shared" si="1"/>
        <v>0</v>
      </c>
      <c r="H11" s="1415">
        <f>H10</f>
        <v>0.1</v>
      </c>
      <c r="I11" s="1416">
        <f t="shared" ref="I11:I15" si="4">G11*(1+H11)</f>
        <v>0</v>
      </c>
      <c r="J11" s="6"/>
      <c r="K11" s="6"/>
    </row>
    <row r="12" spans="1:11" ht="14" customHeight="1" x14ac:dyDescent="0.15">
      <c r="A12" s="111" t="s">
        <v>141</v>
      </c>
      <c r="B12" s="166">
        <v>300</v>
      </c>
      <c r="C12" s="67">
        <f>Q!X29</f>
        <v>0</v>
      </c>
      <c r="D12" s="825">
        <f>B12*C12</f>
        <v>0</v>
      </c>
      <c r="E12" s="1417">
        <f t="shared" si="3"/>
        <v>0.05</v>
      </c>
      <c r="F12" s="1415">
        <f t="shared" si="3"/>
        <v>0.1</v>
      </c>
      <c r="G12" s="1416">
        <f t="shared" si="1"/>
        <v>0</v>
      </c>
      <c r="H12" s="1415">
        <f>H10</f>
        <v>0.1</v>
      </c>
      <c r="I12" s="1416">
        <f t="shared" si="4"/>
        <v>0</v>
      </c>
      <c r="J12" s="6"/>
      <c r="K12" s="6"/>
    </row>
    <row r="13" spans="1:11" s="173" customFormat="1" ht="14" customHeight="1" x14ac:dyDescent="0.15">
      <c r="A13" s="98" t="s">
        <v>84</v>
      </c>
      <c r="B13" s="167">
        <v>20</v>
      </c>
      <c r="C13" s="838">
        <f>Q!I48</f>
        <v>0</v>
      </c>
      <c r="D13" s="825">
        <f>B13*C13</f>
        <v>0</v>
      </c>
      <c r="E13" s="1417">
        <f t="shared" si="3"/>
        <v>0.05</v>
      </c>
      <c r="F13" s="1415">
        <f t="shared" si="3"/>
        <v>0.1</v>
      </c>
      <c r="G13" s="1416">
        <f t="shared" si="1"/>
        <v>0</v>
      </c>
      <c r="H13" s="1415">
        <f>H10</f>
        <v>0.1</v>
      </c>
      <c r="I13" s="1416">
        <f t="shared" si="4"/>
        <v>0</v>
      </c>
      <c r="J13" s="28"/>
    </row>
    <row r="14" spans="1:11" s="173" customFormat="1" ht="14" customHeight="1" x14ac:dyDescent="0.15">
      <c r="A14" s="97" t="s">
        <v>83</v>
      </c>
      <c r="C14" s="633" t="s">
        <v>457</v>
      </c>
      <c r="D14" s="835">
        <v>0</v>
      </c>
      <c r="E14" s="1417">
        <f t="shared" si="3"/>
        <v>0.05</v>
      </c>
      <c r="F14" s="1415">
        <f t="shared" si="3"/>
        <v>0.1</v>
      </c>
      <c r="G14" s="1416">
        <f t="shared" si="1"/>
        <v>0</v>
      </c>
      <c r="H14" s="1415">
        <f>H10</f>
        <v>0.1</v>
      </c>
      <c r="I14" s="1416">
        <f t="shared" si="4"/>
        <v>0</v>
      </c>
      <c r="J14" s="6"/>
    </row>
    <row r="15" spans="1:11" s="173" customFormat="1" ht="14" customHeight="1" x14ac:dyDescent="0.15">
      <c r="A15" s="90" t="s">
        <v>87</v>
      </c>
      <c r="B15" s="26"/>
      <c r="C15" s="26"/>
      <c r="D15" s="835">
        <v>0</v>
      </c>
      <c r="E15" s="1417">
        <f t="shared" si="3"/>
        <v>0.05</v>
      </c>
      <c r="F15" s="1415">
        <f t="shared" si="3"/>
        <v>0.1</v>
      </c>
      <c r="G15" s="1416">
        <f t="shared" si="1"/>
        <v>0</v>
      </c>
      <c r="H15" s="1415">
        <f>H10</f>
        <v>0.1</v>
      </c>
      <c r="I15" s="1416">
        <f t="shared" si="4"/>
        <v>0</v>
      </c>
      <c r="J15" s="6"/>
    </row>
    <row r="16" spans="1:11" s="10" customFormat="1" ht="14" customHeight="1" x14ac:dyDescent="0.15">
      <c r="A16" s="112" t="s">
        <v>88</v>
      </c>
      <c r="B16" s="117"/>
      <c r="C16" s="117"/>
      <c r="D16" s="829">
        <f>SUM(D11:D15)</f>
        <v>0</v>
      </c>
      <c r="E16" s="172">
        <v>0.05</v>
      </c>
      <c r="F16" s="172">
        <v>0.1</v>
      </c>
      <c r="G16" s="832">
        <f t="shared" si="1"/>
        <v>0</v>
      </c>
      <c r="H16" s="187">
        <f>H10</f>
        <v>0.1</v>
      </c>
      <c r="I16" s="832">
        <f>G16*(1+H16)</f>
        <v>0</v>
      </c>
      <c r="J16" s="6"/>
    </row>
    <row r="17" spans="1:11" s="33" customFormat="1" ht="14" customHeight="1" x14ac:dyDescent="0.15">
      <c r="A17" s="239" t="s">
        <v>225</v>
      </c>
      <c r="B17" s="240"/>
      <c r="C17" s="241"/>
      <c r="D17" s="830">
        <f>D16+D9</f>
        <v>0</v>
      </c>
      <c r="E17" s="243"/>
      <c r="F17" s="243"/>
      <c r="G17" s="830">
        <f>G16+G10</f>
        <v>0</v>
      </c>
      <c r="H17" s="244"/>
      <c r="I17" s="830">
        <f>I16+I10</f>
        <v>0</v>
      </c>
      <c r="J17" s="28"/>
    </row>
    <row r="18" spans="1:11" s="173" customFormat="1" ht="14" customHeight="1" x14ac:dyDescent="0.15">
      <c r="A18" s="53"/>
      <c r="B18" s="26"/>
      <c r="C18" s="26"/>
      <c r="D18" s="831"/>
      <c r="E18" s="174"/>
      <c r="F18" s="174"/>
      <c r="G18" s="831"/>
      <c r="H18" s="174"/>
      <c r="I18" s="831"/>
      <c r="J18" s="6"/>
    </row>
    <row r="19" spans="1:11" s="173" customFormat="1" ht="14" customHeight="1" x14ac:dyDescent="0.15">
      <c r="A19" s="53" t="s">
        <v>653</v>
      </c>
      <c r="B19" s="26"/>
      <c r="C19" s="26"/>
      <c r="D19" s="831"/>
      <c r="E19" s="174"/>
      <c r="F19" s="174"/>
      <c r="G19" s="831"/>
      <c r="H19" s="174"/>
      <c r="I19" s="831"/>
      <c r="J19" s="6"/>
    </row>
    <row r="20" spans="1:11" s="173" customFormat="1" ht="14" customHeight="1" x14ac:dyDescent="0.15">
      <c r="A20" s="114" t="s">
        <v>222</v>
      </c>
      <c r="B20" s="116">
        <f>'2neighborhood'!F70</f>
        <v>10</v>
      </c>
      <c r="C20" s="63">
        <f>Q!O30</f>
        <v>0</v>
      </c>
      <c r="D20" s="825">
        <f>B20*C20</f>
        <v>0</v>
      </c>
      <c r="E20" s="1417">
        <f>E21</f>
        <v>0</v>
      </c>
      <c r="F20" s="1415">
        <f>F21</f>
        <v>0</v>
      </c>
      <c r="G20" s="1416">
        <f t="shared" ref="G20:G28" si="5">D20*(1+E20)*(1+F20)</f>
        <v>0</v>
      </c>
      <c r="H20" s="1415">
        <f>H10</f>
        <v>0.1</v>
      </c>
      <c r="I20" s="1416">
        <f t="shared" ref="I20:I21" si="6">G20*(1+H20)</f>
        <v>0</v>
      </c>
      <c r="J20" s="33"/>
    </row>
    <row r="21" spans="1:11" s="173" customFormat="1" ht="14" customHeight="1" x14ac:dyDescent="0.15">
      <c r="A21" s="114" t="s">
        <v>220</v>
      </c>
      <c r="B21" s="166">
        <v>0</v>
      </c>
      <c r="C21" s="67">
        <f>Q!C49</f>
        <v>0</v>
      </c>
      <c r="D21" s="825">
        <f>B21*C21</f>
        <v>0</v>
      </c>
      <c r="E21" s="1417">
        <f>E22</f>
        <v>0</v>
      </c>
      <c r="F21" s="1415">
        <f>F22</f>
        <v>0</v>
      </c>
      <c r="G21" s="1416">
        <f t="shared" si="5"/>
        <v>0</v>
      </c>
      <c r="H21" s="1415">
        <f>H10</f>
        <v>0.1</v>
      </c>
      <c r="I21" s="1416">
        <f t="shared" si="6"/>
        <v>0</v>
      </c>
      <c r="J21" s="6"/>
    </row>
    <row r="22" spans="1:11" s="10" customFormat="1" ht="14" customHeight="1" x14ac:dyDescent="0.15">
      <c r="A22" s="112" t="s">
        <v>224</v>
      </c>
      <c r="B22" s="117"/>
      <c r="C22" s="117"/>
      <c r="D22" s="829">
        <f>SUM(D20:D21)</f>
        <v>0</v>
      </c>
      <c r="E22" s="172">
        <v>0</v>
      </c>
      <c r="F22" s="172">
        <v>0</v>
      </c>
      <c r="G22" s="834">
        <f t="shared" si="5"/>
        <v>0</v>
      </c>
      <c r="H22" s="187">
        <f>H10</f>
        <v>0.1</v>
      </c>
      <c r="I22" s="832">
        <f>G22*(1+H22)</f>
        <v>0</v>
      </c>
      <c r="J22" s="6"/>
    </row>
    <row r="23" spans="1:11" ht="14" customHeight="1" x14ac:dyDescent="0.15">
      <c r="A23" s="115" t="s">
        <v>85</v>
      </c>
      <c r="B23" s="171">
        <v>150</v>
      </c>
      <c r="C23" s="138">
        <f>Q!D49</f>
        <v>0</v>
      </c>
      <c r="D23" s="825">
        <f>B23*C23</f>
        <v>0</v>
      </c>
      <c r="E23" s="1417">
        <f t="shared" ref="E23:F27" si="7">E24</f>
        <v>0.05</v>
      </c>
      <c r="F23" s="1415">
        <f t="shared" si="7"/>
        <v>0.1</v>
      </c>
      <c r="G23" s="1416">
        <f t="shared" si="5"/>
        <v>0</v>
      </c>
      <c r="H23" s="1415">
        <f>H10</f>
        <v>0.1</v>
      </c>
      <c r="I23" s="1416">
        <f t="shared" ref="I23:I27" si="8">G23*(1+H23)</f>
        <v>0</v>
      </c>
      <c r="J23" s="6"/>
      <c r="K23" s="6"/>
    </row>
    <row r="24" spans="1:11" ht="14" customHeight="1" x14ac:dyDescent="0.15">
      <c r="A24" s="115" t="s">
        <v>141</v>
      </c>
      <c r="B24" s="166">
        <v>150</v>
      </c>
      <c r="C24" s="67">
        <f>Q!X30</f>
        <v>0</v>
      </c>
      <c r="D24" s="825">
        <f>B24*C24</f>
        <v>0</v>
      </c>
      <c r="E24" s="1417">
        <f t="shared" si="7"/>
        <v>0.05</v>
      </c>
      <c r="F24" s="1415">
        <f t="shared" si="7"/>
        <v>0.1</v>
      </c>
      <c r="G24" s="1416">
        <f t="shared" si="5"/>
        <v>0</v>
      </c>
      <c r="H24" s="1415">
        <f>H10</f>
        <v>0.1</v>
      </c>
      <c r="I24" s="1416">
        <f t="shared" si="8"/>
        <v>0</v>
      </c>
      <c r="J24" s="6"/>
      <c r="K24" s="6"/>
    </row>
    <row r="25" spans="1:11" s="173" customFormat="1" ht="14" customHeight="1" x14ac:dyDescent="0.15">
      <c r="A25" s="98" t="s">
        <v>84</v>
      </c>
      <c r="B25" s="167">
        <v>20</v>
      </c>
      <c r="C25" s="838">
        <f>Q!I49</f>
        <v>0</v>
      </c>
      <c r="D25" s="825">
        <f>B25*C25</f>
        <v>0</v>
      </c>
      <c r="E25" s="1417">
        <f t="shared" si="7"/>
        <v>0.05</v>
      </c>
      <c r="F25" s="1415">
        <f t="shared" si="7"/>
        <v>0.1</v>
      </c>
      <c r="G25" s="1416">
        <f t="shared" si="5"/>
        <v>0</v>
      </c>
      <c r="H25" s="1415">
        <f>H10</f>
        <v>0.1</v>
      </c>
      <c r="I25" s="1416">
        <f t="shared" si="8"/>
        <v>0</v>
      </c>
      <c r="J25" s="5"/>
    </row>
    <row r="26" spans="1:11" s="173" customFormat="1" ht="14" customHeight="1" x14ac:dyDescent="0.15">
      <c r="A26" s="97" t="s">
        <v>83</v>
      </c>
      <c r="C26" s="633" t="s">
        <v>457</v>
      </c>
      <c r="D26" s="835">
        <v>0</v>
      </c>
      <c r="E26" s="1417">
        <f t="shared" si="7"/>
        <v>0.05</v>
      </c>
      <c r="F26" s="1415">
        <f t="shared" si="7"/>
        <v>0.1</v>
      </c>
      <c r="G26" s="1416">
        <f t="shared" si="5"/>
        <v>0</v>
      </c>
      <c r="H26" s="1415">
        <f>H10</f>
        <v>0.1</v>
      </c>
      <c r="I26" s="1416">
        <f t="shared" si="8"/>
        <v>0</v>
      </c>
      <c r="J26" s="5"/>
    </row>
    <row r="27" spans="1:11" s="173" customFormat="1" ht="14" customHeight="1" x14ac:dyDescent="0.15">
      <c r="A27" s="90" t="s">
        <v>87</v>
      </c>
      <c r="B27" s="26"/>
      <c r="C27" s="26"/>
      <c r="D27" s="835">
        <v>0</v>
      </c>
      <c r="E27" s="1417">
        <f t="shared" si="7"/>
        <v>0.05</v>
      </c>
      <c r="F27" s="1415">
        <f t="shared" si="7"/>
        <v>0.1</v>
      </c>
      <c r="G27" s="1416">
        <f t="shared" si="5"/>
        <v>0</v>
      </c>
      <c r="H27" s="1415">
        <f>H10</f>
        <v>0.1</v>
      </c>
      <c r="I27" s="1416">
        <f t="shared" si="8"/>
        <v>0</v>
      </c>
      <c r="J27" s="5"/>
    </row>
    <row r="28" spans="1:11" s="10" customFormat="1" ht="14" customHeight="1" x14ac:dyDescent="0.15">
      <c r="A28" s="112" t="s">
        <v>88</v>
      </c>
      <c r="B28" s="117"/>
      <c r="C28" s="117"/>
      <c r="D28" s="829">
        <f>SUM(D23:D27)</f>
        <v>0</v>
      </c>
      <c r="E28" s="172">
        <v>0.05</v>
      </c>
      <c r="F28" s="172">
        <v>0.1</v>
      </c>
      <c r="G28" s="832">
        <f t="shared" si="5"/>
        <v>0</v>
      </c>
      <c r="H28" s="187">
        <f>H10</f>
        <v>0.1</v>
      </c>
      <c r="I28" s="832">
        <f>G28*(1+H28)</f>
        <v>0</v>
      </c>
      <c r="J28" s="33"/>
    </row>
    <row r="29" spans="1:11" s="33" customFormat="1" ht="14" customHeight="1" x14ac:dyDescent="0.15">
      <c r="A29" s="239" t="s">
        <v>226</v>
      </c>
      <c r="B29" s="240"/>
      <c r="C29" s="241"/>
      <c r="D29" s="830">
        <f>D28+D22</f>
        <v>0</v>
      </c>
      <c r="E29" s="243"/>
      <c r="F29" s="243"/>
      <c r="G29" s="830">
        <f>G28+G22</f>
        <v>0</v>
      </c>
      <c r="H29" s="244"/>
      <c r="I29" s="830">
        <f>I28+I22</f>
        <v>0</v>
      </c>
      <c r="J29" s="2"/>
    </row>
    <row r="30" spans="1:11" s="173" customFormat="1" ht="14" customHeight="1" x14ac:dyDescent="0.15">
      <c r="A30" s="17"/>
      <c r="B30" s="26"/>
      <c r="C30" s="26"/>
      <c r="D30" s="831"/>
      <c r="E30" s="174"/>
      <c r="F30" s="174"/>
      <c r="G30" s="831"/>
      <c r="H30" s="174"/>
      <c r="I30" s="831"/>
      <c r="J30" s="5"/>
    </row>
    <row r="31" spans="1:11" s="33" customFormat="1" ht="14" customHeight="1" x14ac:dyDescent="0.15">
      <c r="A31" s="239" t="s">
        <v>519</v>
      </c>
      <c r="B31" s="240"/>
      <c r="C31" s="241"/>
      <c r="D31" s="830">
        <f>D29+D17</f>
        <v>0</v>
      </c>
      <c r="E31" s="243"/>
      <c r="F31" s="243"/>
      <c r="G31" s="830">
        <f>G29+G17</f>
        <v>0</v>
      </c>
      <c r="H31" s="244"/>
      <c r="I31" s="830">
        <f>I29+I17</f>
        <v>0</v>
      </c>
      <c r="J31" s="2"/>
    </row>
    <row r="32" spans="1:11" s="173" customFormat="1" ht="14" customHeight="1" x14ac:dyDescent="0.15">
      <c r="A32" s="17"/>
      <c r="B32" s="26"/>
      <c r="C32" s="26"/>
      <c r="D32" s="174"/>
      <c r="E32" s="174"/>
      <c r="F32" s="174"/>
      <c r="G32" s="174"/>
      <c r="H32" s="174"/>
      <c r="I32" s="831"/>
      <c r="J32" s="2"/>
    </row>
    <row r="33" spans="1:16" s="1" customFormat="1" ht="29" customHeight="1" x14ac:dyDescent="0.15">
      <c r="A33" s="248" t="s">
        <v>19</v>
      </c>
      <c r="B33" s="249" t="s">
        <v>89</v>
      </c>
      <c r="C33" s="1518" t="s">
        <v>527</v>
      </c>
      <c r="D33" s="1518"/>
      <c r="E33" s="1518"/>
      <c r="F33" s="250" t="s">
        <v>53</v>
      </c>
      <c r="G33" s="249" t="s">
        <v>203</v>
      </c>
      <c r="H33" s="249" t="s">
        <v>202</v>
      </c>
      <c r="I33" s="833" t="s">
        <v>204</v>
      </c>
    </row>
    <row r="34" spans="1:16" s="173" customFormat="1" ht="14" customHeight="1" x14ac:dyDescent="0.15">
      <c r="A34" s="53" t="s">
        <v>652</v>
      </c>
      <c r="B34" s="26"/>
      <c r="D34" s="828"/>
      <c r="E34" s="174"/>
      <c r="F34" s="174"/>
      <c r="G34" s="831"/>
      <c r="H34" s="253"/>
      <c r="I34" s="831"/>
      <c r="J34" s="134"/>
    </row>
    <row r="35" spans="1:16" s="173" customFormat="1" ht="14" customHeight="1" x14ac:dyDescent="0.15">
      <c r="A35" s="98" t="s">
        <v>227</v>
      </c>
      <c r="B35" s="63">
        <f>Q!H48+Q!I48</f>
        <v>0</v>
      </c>
      <c r="C35" s="1519" t="s">
        <v>201</v>
      </c>
      <c r="D35" s="1519"/>
      <c r="E35" s="1519"/>
      <c r="F35" s="174"/>
      <c r="G35" s="22"/>
      <c r="H35" s="174"/>
      <c r="I35" s="828"/>
      <c r="J35" s="208"/>
    </row>
    <row r="36" spans="1:16" ht="14" customHeight="1" x14ac:dyDescent="0.15">
      <c r="A36" s="855">
        <f>IF(B37=0,0,I17/B37)</f>
        <v>0</v>
      </c>
      <c r="B36" s="854"/>
      <c r="C36" s="854"/>
      <c r="D36" s="854"/>
      <c r="E36" s="760"/>
      <c r="F36" s="6"/>
      <c r="G36" s="99"/>
      <c r="H36" s="630"/>
      <c r="I36" s="827"/>
      <c r="J36" s="229"/>
      <c r="K36" s="823"/>
      <c r="L36" s="824"/>
      <c r="N36" s="1"/>
      <c r="O36" s="1"/>
      <c r="P36" s="173"/>
    </row>
    <row r="37" spans="1:16" ht="14" customHeight="1" x14ac:dyDescent="0.15">
      <c r="A37" s="254" t="s">
        <v>228</v>
      </c>
      <c r="B37" s="63">
        <f>C9-'3lcluster_local_2level'!B35</f>
        <v>0</v>
      </c>
      <c r="C37" s="1519" t="str">
        <f>'2neighborhood'!C68</f>
        <v xml:space="preserve">Small-scale livelihoods, residential </v>
      </c>
      <c r="D37" s="1519"/>
      <c r="E37" s="1519"/>
      <c r="F37" s="754">
        <f>Q!AM29</f>
        <v>0</v>
      </c>
      <c r="G37" s="627">
        <v>40</v>
      </c>
      <c r="H37" s="745">
        <f>IF(B37=0,0,IF(I17=0,0,G37/(I17/B37)-1))</f>
        <v>0</v>
      </c>
      <c r="I37" s="821">
        <f>G37*B37</f>
        <v>0</v>
      </c>
      <c r="J37" s="2"/>
      <c r="K37" s="6"/>
    </row>
    <row r="38" spans="1:16" ht="14" customHeight="1" x14ac:dyDescent="0.15">
      <c r="A38" s="97" t="s">
        <v>83</v>
      </c>
      <c r="B38" s="19"/>
      <c r="C38" s="1519" t="s">
        <v>208</v>
      </c>
      <c r="D38" s="1519"/>
      <c r="E38" s="1519"/>
      <c r="F38" s="19"/>
      <c r="G38" s="19"/>
      <c r="H38" s="747"/>
      <c r="I38" s="819">
        <v>0</v>
      </c>
      <c r="J38" s="2"/>
      <c r="K38" s="6"/>
    </row>
    <row r="39" spans="1:16" ht="14" customHeight="1" x14ac:dyDescent="0.15">
      <c r="A39" s="251" t="s">
        <v>207</v>
      </c>
      <c r="B39" s="19"/>
      <c r="C39" s="1519"/>
      <c r="D39" s="1519"/>
      <c r="E39" s="1519"/>
      <c r="F39" s="19"/>
      <c r="G39" s="19"/>
      <c r="H39" s="747"/>
      <c r="I39" s="819">
        <v>0</v>
      </c>
      <c r="J39" s="2"/>
      <c r="K39" s="6"/>
    </row>
    <row r="40" spans="1:16" s="173" customFormat="1" ht="14" customHeight="1" x14ac:dyDescent="0.15">
      <c r="A40" s="53"/>
      <c r="B40" s="26"/>
      <c r="C40" s="26"/>
      <c r="D40" s="831"/>
      <c r="E40" s="174"/>
      <c r="F40" s="174"/>
      <c r="G40" s="831"/>
      <c r="H40" s="174"/>
      <c r="I40" s="831"/>
      <c r="J40" s="6"/>
    </row>
    <row r="41" spans="1:16" s="173" customFormat="1" ht="14" customHeight="1" x14ac:dyDescent="0.15">
      <c r="A41" s="53" t="s">
        <v>653</v>
      </c>
      <c r="B41" s="26"/>
      <c r="C41" s="26"/>
      <c r="D41" s="831"/>
      <c r="E41" s="174"/>
      <c r="F41" s="174"/>
      <c r="G41" s="831"/>
      <c r="H41" s="174"/>
      <c r="I41" s="831"/>
      <c r="J41" s="6"/>
    </row>
    <row r="42" spans="1:16" s="173" customFormat="1" ht="14" customHeight="1" x14ac:dyDescent="0.15">
      <c r="A42" s="98" t="s">
        <v>229</v>
      </c>
      <c r="B42" s="62">
        <f>Q!H49+Q!I49</f>
        <v>0</v>
      </c>
      <c r="C42" s="1519" t="s">
        <v>201</v>
      </c>
      <c r="D42" s="1519"/>
      <c r="E42" s="1519"/>
      <c r="F42" s="174"/>
      <c r="G42" s="22"/>
      <c r="H42" s="746"/>
      <c r="I42" s="828"/>
      <c r="J42" s="2"/>
    </row>
    <row r="43" spans="1:16" ht="14" customHeight="1" x14ac:dyDescent="0.15">
      <c r="A43" s="855">
        <f>IF(B44=0,0,I29/B44)</f>
        <v>0</v>
      </c>
      <c r="B43" s="854"/>
      <c r="C43" s="854"/>
      <c r="D43" s="854"/>
      <c r="E43" s="760"/>
      <c r="F43" s="6"/>
      <c r="G43" s="99"/>
      <c r="H43" s="630"/>
      <c r="I43" s="827"/>
      <c r="J43" s="2"/>
      <c r="K43" s="823"/>
      <c r="L43" s="824"/>
      <c r="N43" s="1"/>
      <c r="O43" s="1"/>
      <c r="P43" s="173"/>
    </row>
    <row r="44" spans="1:16" ht="14" customHeight="1" x14ac:dyDescent="0.15">
      <c r="A44" s="114" t="s">
        <v>230</v>
      </c>
      <c r="B44" s="62">
        <f>C20-B42</f>
        <v>0</v>
      </c>
      <c r="C44" s="1519" t="str">
        <f>'2neighborhood'!C70</f>
        <v xml:space="preserve">Small-scale livelihoods, residential </v>
      </c>
      <c r="D44" s="1519"/>
      <c r="E44" s="1519"/>
      <c r="F44" s="754">
        <f>Q!AM30</f>
        <v>0</v>
      </c>
      <c r="G44" s="627">
        <v>25</v>
      </c>
      <c r="H44" s="745">
        <f>IF(B44=0,0,IF(I29=0,0,G44/(I29/B44)-1))</f>
        <v>0</v>
      </c>
      <c r="I44" s="821">
        <f>G44*B44</f>
        <v>0</v>
      </c>
      <c r="J44" s="208"/>
      <c r="K44" s="6"/>
    </row>
    <row r="45" spans="1:16" ht="14" customHeight="1" x14ac:dyDescent="0.15">
      <c r="A45" s="97" t="s">
        <v>83</v>
      </c>
      <c r="B45" s="19"/>
      <c r="C45" s="1519" t="s">
        <v>208</v>
      </c>
      <c r="D45" s="1519"/>
      <c r="E45" s="1519"/>
      <c r="F45" s="19"/>
      <c r="G45" s="19"/>
      <c r="H45" s="747"/>
      <c r="I45" s="819">
        <v>0</v>
      </c>
      <c r="J45" s="6"/>
      <c r="K45" s="6"/>
    </row>
    <row r="46" spans="1:16" ht="14" customHeight="1" x14ac:dyDescent="0.15">
      <c r="A46" s="251" t="s">
        <v>207</v>
      </c>
      <c r="B46" s="19"/>
      <c r="C46" s="1519"/>
      <c r="D46" s="1519"/>
      <c r="E46" s="1519"/>
      <c r="F46" s="19"/>
      <c r="G46" s="19"/>
      <c r="H46" s="747"/>
      <c r="I46" s="819">
        <v>0</v>
      </c>
      <c r="J46"/>
      <c r="K46" s="6"/>
    </row>
    <row r="47" spans="1:16" s="33" customFormat="1" ht="14" customHeight="1" x14ac:dyDescent="0.15">
      <c r="A47" s="239" t="s">
        <v>23</v>
      </c>
      <c r="B47" s="255">
        <f>SUM(B37:B44)</f>
        <v>0</v>
      </c>
      <c r="C47" s="241"/>
      <c r="D47" s="242">
        <f>D44+D27</f>
        <v>0</v>
      </c>
      <c r="E47" s="243"/>
      <c r="F47" s="243"/>
      <c r="G47" s="244"/>
      <c r="H47" s="748">
        <f>IF(I31=0,0,I47/I31-1)</f>
        <v>0</v>
      </c>
      <c r="I47" s="830">
        <f>SUM(I35:I46)</f>
        <v>0</v>
      </c>
      <c r="J47" s="88"/>
    </row>
    <row r="48" spans="1:16" s="173" customFormat="1" ht="14" customHeight="1" x14ac:dyDescent="0.15">
      <c r="A48" s="17"/>
      <c r="B48" s="26"/>
      <c r="C48" s="26"/>
      <c r="D48" s="174"/>
      <c r="E48" s="174"/>
      <c r="F48" s="174"/>
      <c r="G48" s="174"/>
      <c r="H48" s="205"/>
      <c r="I48" s="831"/>
      <c r="J48" s="88"/>
    </row>
    <row r="49" spans="1:14" s="22" customFormat="1" ht="14" customHeight="1" x14ac:dyDescent="0.15">
      <c r="A49" s="8" t="s">
        <v>193</v>
      </c>
      <c r="B49" s="44"/>
      <c r="C49" s="44"/>
      <c r="D49" s="100"/>
      <c r="E49" s="101"/>
      <c r="F49" s="56"/>
      <c r="G49" s="44"/>
      <c r="H49" s="232" t="s">
        <v>194</v>
      </c>
      <c r="I49" s="822">
        <f>I47-I29-I17</f>
        <v>0</v>
      </c>
      <c r="J49" s="88"/>
      <c r="K49" s="173"/>
      <c r="L49" s="173"/>
      <c r="M49" s="173"/>
    </row>
    <row r="50" spans="1:14" s="2" customFormat="1" ht="14" customHeight="1" x14ac:dyDescent="0.15">
      <c r="A50" s="412"/>
      <c r="B50" s="412"/>
      <c r="C50" s="413"/>
      <c r="D50" s="414"/>
      <c r="E50" s="415"/>
      <c r="F50" s="413"/>
      <c r="G50" s="413"/>
      <c r="H50" s="417" t="s">
        <v>209</v>
      </c>
      <c r="I50" s="418">
        <f>IF(I31=0,0,I49/I31)</f>
        <v>0</v>
      </c>
      <c r="J50" s="88"/>
      <c r="K50" s="22"/>
      <c r="L50" s="22"/>
      <c r="M50" s="22"/>
    </row>
    <row r="51" spans="1:14" s="22" customFormat="1" ht="14" customHeight="1" x14ac:dyDescent="0.15">
      <c r="A51" s="43"/>
      <c r="B51" s="43"/>
      <c r="C51" s="28"/>
      <c r="D51" s="28"/>
      <c r="E51" s="28"/>
      <c r="H51" s="46"/>
      <c r="I51" s="42"/>
      <c r="J51" s="1"/>
      <c r="K51" s="173"/>
      <c r="L51" s="173"/>
      <c r="M51" s="173"/>
    </row>
    <row r="52" spans="1:14" s="420" customFormat="1" ht="14" customHeight="1" x14ac:dyDescent="0.15">
      <c r="A52" s="419"/>
      <c r="B52" s="419"/>
      <c r="D52" s="421"/>
      <c r="E52" s="422"/>
      <c r="G52" s="22"/>
      <c r="H52" s="22"/>
      <c r="I52" s="22"/>
      <c r="J52" s="28"/>
      <c r="K52" s="22"/>
      <c r="L52" s="22"/>
      <c r="M52" s="22"/>
      <c r="N52" s="22"/>
    </row>
    <row r="53" spans="1:14" s="173" customFormat="1" ht="14" customHeight="1" x14ac:dyDescent="0.15">
      <c r="B53" s="26"/>
      <c r="C53" s="26"/>
      <c r="D53" s="174"/>
      <c r="E53" s="174"/>
      <c r="F53" s="174"/>
      <c r="G53" s="174"/>
      <c r="H53" s="22"/>
      <c r="I53" s="174"/>
      <c r="J53" s="28"/>
    </row>
    <row r="54" spans="1:14" customFormat="1" ht="14" customHeight="1" x14ac:dyDescent="0.15">
      <c r="A54" s="64" t="s">
        <v>48</v>
      </c>
      <c r="B54" s="26"/>
      <c r="C54" s="26"/>
      <c r="D54" s="26"/>
      <c r="E54" s="26"/>
      <c r="F54" s="22"/>
      <c r="G54" s="22"/>
      <c r="H54" s="22"/>
      <c r="I54" s="22"/>
      <c r="J54" s="6"/>
    </row>
    <row r="55" spans="1:14" ht="14" customHeight="1" x14ac:dyDescent="0.15">
      <c r="A55" s="161" t="s">
        <v>154</v>
      </c>
      <c r="B55" s="5"/>
      <c r="C55" s="5"/>
      <c r="D55"/>
      <c r="E55"/>
      <c r="F55"/>
      <c r="G55" s="6"/>
      <c r="H55" s="6"/>
      <c r="I55" s="6"/>
      <c r="J55" s="6"/>
      <c r="K55" s="6"/>
    </row>
    <row r="56" spans="1:14" customFormat="1" ht="14" customHeight="1" x14ac:dyDescent="0.15">
      <c r="A56" s="53" t="s">
        <v>45</v>
      </c>
      <c r="B56" s="26"/>
      <c r="C56" s="26"/>
      <c r="D56" s="26"/>
      <c r="E56" s="26"/>
      <c r="F56" s="26"/>
      <c r="G56" s="26"/>
      <c r="H56" s="26"/>
      <c r="I56" s="26"/>
      <c r="J56" s="6"/>
    </row>
    <row r="57" spans="1:14" customFormat="1" ht="14" customHeight="1" x14ac:dyDescent="0.15">
      <c r="A57" s="53" t="s">
        <v>197</v>
      </c>
      <c r="B57" s="26"/>
      <c r="C57" s="26"/>
      <c r="D57" s="26"/>
      <c r="E57" s="26"/>
      <c r="F57" s="26"/>
      <c r="G57" s="26"/>
      <c r="H57" s="26"/>
      <c r="I57" s="26"/>
      <c r="J57" s="6"/>
    </row>
    <row r="58" spans="1:14" ht="14" customHeight="1" x14ac:dyDescent="0.15">
      <c r="A58" s="25" t="s">
        <v>217</v>
      </c>
      <c r="J58" s="6"/>
    </row>
    <row r="59" spans="1:14" ht="14" customHeight="1" x14ac:dyDescent="0.15">
      <c r="J59" s="10"/>
    </row>
    <row r="60" spans="1:14" ht="14" customHeight="1" x14ac:dyDescent="0.15">
      <c r="A60" s="141" t="str">
        <f>"@Matt, question is whether the access area of the on-grid partition needs to be charged to the off-grid. Presumably not (fully) if it also services the backside of the on-grid and/or serves as distance between on-grid buildings..."</f>
        <v>@Matt, question is whether the access area of the on-grid partition needs to be charged to the off-grid. Presumably not (fully) if it also services the backside of the on-grid and/or serves as distance between on-grid buildings...</v>
      </c>
      <c r="J60" s="6"/>
    </row>
    <row r="61" spans="1:14" ht="14" customHeight="1" x14ac:dyDescent="0.15">
      <c r="J61" s="6"/>
    </row>
    <row r="62" spans="1:14" ht="14" customHeight="1" x14ac:dyDescent="0.15">
      <c r="J62" s="6"/>
    </row>
    <row r="63" spans="1:14" s="2" customFormat="1" ht="28" customHeight="1" x14ac:dyDescent="0.15">
      <c r="A63" s="23"/>
      <c r="B63" s="23"/>
      <c r="C63" s="32"/>
      <c r="D63" s="88"/>
      <c r="E63" s="77"/>
      <c r="G63" s="25"/>
      <c r="H63" s="38"/>
      <c r="I63" s="4"/>
      <c r="J63" s="6"/>
    </row>
    <row r="64" spans="1:14" ht="14" customHeight="1" x14ac:dyDescent="0.15">
      <c r="J64" s="10"/>
    </row>
    <row r="65" spans="1:11" ht="14" customHeight="1" x14ac:dyDescent="0.15">
      <c r="J65" s="6"/>
    </row>
    <row r="66" spans="1:11" ht="14" customHeight="1" x14ac:dyDescent="0.15">
      <c r="J66" s="6"/>
    </row>
    <row r="67" spans="1:11" ht="14" customHeight="1" x14ac:dyDescent="0.15">
      <c r="A67"/>
      <c r="B67"/>
      <c r="C67"/>
      <c r="D67"/>
      <c r="E67"/>
      <c r="F67"/>
      <c r="G67" s="5"/>
      <c r="H67" s="6"/>
      <c r="I67" s="5"/>
      <c r="J67" s="6"/>
      <c r="K67" s="6"/>
    </row>
    <row r="68" spans="1:11" ht="14" customHeight="1" x14ac:dyDescent="0.15">
      <c r="B68" s="17"/>
      <c r="C68" s="32"/>
      <c r="D68" s="89"/>
      <c r="E68" s="45"/>
      <c r="F68"/>
      <c r="G68" s="39"/>
      <c r="H68" s="37"/>
      <c r="I68" s="5"/>
      <c r="J68" s="6"/>
      <c r="K68" s="6"/>
    </row>
    <row r="69" spans="1:11" ht="14" customHeight="1" x14ac:dyDescent="0.15">
      <c r="A69" s="6"/>
      <c r="B69" s="64"/>
      <c r="C69" s="28"/>
      <c r="D69" s="74"/>
      <c r="F69" s="5"/>
      <c r="G69" s="5"/>
      <c r="H69" s="5"/>
      <c r="I69" s="6"/>
      <c r="J69" s="28"/>
      <c r="K69" s="6"/>
    </row>
    <row r="70" spans="1:11" ht="14" customHeight="1" x14ac:dyDescent="0.15">
      <c r="A70" s="6"/>
      <c r="B70" s="73"/>
      <c r="C70" s="28"/>
      <c r="D70" s="74"/>
      <c r="F70" s="5"/>
      <c r="G70" s="5"/>
      <c r="H70" s="5"/>
      <c r="I70" s="5"/>
      <c r="J70" s="28"/>
      <c r="K70" s="6"/>
    </row>
    <row r="71" spans="1:11" ht="14" customHeight="1" x14ac:dyDescent="0.15">
      <c r="A71" s="6"/>
      <c r="B71" s="53"/>
      <c r="C71" s="28"/>
      <c r="D71" s="89"/>
      <c r="E71" s="45"/>
      <c r="F71"/>
      <c r="G71" s="5"/>
      <c r="H71" s="37"/>
      <c r="I71" s="5"/>
      <c r="J71" s="6"/>
      <c r="K71" s="6"/>
    </row>
    <row r="72" spans="1:11" ht="14" customHeight="1" x14ac:dyDescent="0.15">
      <c r="A72" s="6"/>
      <c r="B72" s="53"/>
      <c r="C72" s="28"/>
      <c r="D72" s="89"/>
      <c r="E72" s="45"/>
      <c r="F72"/>
      <c r="G72" s="5"/>
      <c r="H72" s="37"/>
      <c r="I72" s="5"/>
      <c r="J72" s="6"/>
      <c r="K72" s="6"/>
    </row>
    <row r="73" spans="1:11" ht="14" customHeight="1" x14ac:dyDescent="0.15">
      <c r="A73" s="6"/>
      <c r="B73" s="17"/>
      <c r="C73" s="28"/>
      <c r="D73" s="89"/>
      <c r="E73" s="45"/>
      <c r="F73"/>
      <c r="G73" s="5"/>
      <c r="H73" s="37"/>
      <c r="I73" s="5"/>
      <c r="J73" s="6"/>
      <c r="K73" s="6"/>
    </row>
    <row r="74" spans="1:11" ht="14" customHeight="1" x14ac:dyDescent="0.15">
      <c r="A74" s="6"/>
      <c r="B74" s="17"/>
      <c r="C74" s="28"/>
      <c r="D74" s="89"/>
      <c r="E74" s="45"/>
      <c r="F74"/>
      <c r="G74" s="5"/>
      <c r="H74" s="37"/>
      <c r="I74" s="5"/>
      <c r="J74" s="6"/>
      <c r="K74" s="6"/>
    </row>
    <row r="75" spans="1:11" ht="14" customHeight="1" x14ac:dyDescent="0.15">
      <c r="A75" s="6"/>
      <c r="B75" s="17"/>
      <c r="C75" s="28"/>
      <c r="D75" s="89"/>
      <c r="E75" s="45"/>
      <c r="F75"/>
      <c r="G75" s="5"/>
      <c r="H75" s="37"/>
      <c r="I75" s="5"/>
      <c r="J75" s="28"/>
      <c r="K75" s="6"/>
    </row>
    <row r="76" spans="1:11" ht="14" customHeight="1" x14ac:dyDescent="0.15">
      <c r="J76" s="6"/>
    </row>
    <row r="77" spans="1:11" ht="14" customHeight="1" x14ac:dyDescent="0.15">
      <c r="J77" s="10"/>
    </row>
    <row r="78" spans="1:11" ht="14" customHeight="1" x14ac:dyDescent="0.15">
      <c r="J78" s="6"/>
    </row>
    <row r="79" spans="1:11" ht="14" customHeight="1" x14ac:dyDescent="0.15">
      <c r="J79" s="33"/>
    </row>
    <row r="80" spans="1:11" ht="14" customHeight="1" x14ac:dyDescent="0.15">
      <c r="J80" s="33"/>
    </row>
    <row r="81" spans="10:10" ht="14" customHeight="1" x14ac:dyDescent="0.15">
      <c r="J81" s="22"/>
    </row>
    <row r="82" spans="10:10" ht="14" customHeight="1" x14ac:dyDescent="0.15">
      <c r="J82" s="28"/>
    </row>
    <row r="83" spans="10:10" ht="14" customHeight="1" x14ac:dyDescent="0.15">
      <c r="J83" s="22"/>
    </row>
    <row r="84" spans="10:10" ht="14" customHeight="1" x14ac:dyDescent="0.15">
      <c r="J84" s="2"/>
    </row>
    <row r="85" spans="10:10" ht="14" customHeight="1" x14ac:dyDescent="0.15">
      <c r="J85" s="28"/>
    </row>
    <row r="86" spans="10:10" ht="14" customHeight="1" x14ac:dyDescent="0.15">
      <c r="J86" s="420"/>
    </row>
    <row r="87" spans="10:10" ht="14" customHeight="1" x14ac:dyDescent="0.15">
      <c r="J87" s="28"/>
    </row>
    <row r="88" spans="10:10" ht="14" customHeight="1" x14ac:dyDescent="0.15">
      <c r="J88" s="6"/>
    </row>
    <row r="90" spans="10:10" ht="14" customHeight="1" x14ac:dyDescent="0.15">
      <c r="J90" s="6"/>
    </row>
    <row r="91" spans="10:10" ht="14" customHeight="1" x14ac:dyDescent="0.15">
      <c r="J91" s="6"/>
    </row>
    <row r="92" spans="10:10" ht="14" customHeight="1" x14ac:dyDescent="0.15">
      <c r="J92" s="6"/>
    </row>
  </sheetData>
  <sheetProtection selectLockedCells="1"/>
  <mergeCells count="9">
    <mergeCell ref="C44:E44"/>
    <mergeCell ref="C46:E46"/>
    <mergeCell ref="C35:E35"/>
    <mergeCell ref="C37:E37"/>
    <mergeCell ref="C33:E33"/>
    <mergeCell ref="C42:E42"/>
    <mergeCell ref="C39:E39"/>
    <mergeCell ref="C38:E38"/>
    <mergeCell ref="C45:E45"/>
  </mergeCells>
  <printOptions headings="1"/>
  <pageMargins left="0.7" right="0.7" top="0.75" bottom="0.75" header="0.3" footer="0.3"/>
  <pageSetup paperSize="9" scale="73" fitToWidth="0" fitToHeight="5" orientation="landscape" horizontalDpi="4294967292" verticalDpi="4294967292" r:id="rId1"/>
  <headerFooter>
    <oddHeader>&amp;R&amp;K000000&amp;A
Page &amp;P of &amp;N</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55A1B-0DC0-564D-BA5A-3F6C53954513}">
  <sheetPr>
    <tabColor theme="6"/>
    <pageSetUpPr fitToPage="1"/>
  </sheetPr>
  <dimension ref="A1:V53"/>
  <sheetViews>
    <sheetView zoomScale="200" zoomScaleNormal="200" workbookViewId="0">
      <pane xSplit="1" ySplit="2" topLeftCell="M3" activePane="bottomRight" state="frozen"/>
      <selection activeCell="B43" sqref="B43"/>
      <selection pane="topRight" activeCell="B43" sqref="B43"/>
      <selection pane="bottomLeft" activeCell="B43" sqref="B43"/>
      <selection pane="bottomRight" activeCell="B43" sqref="B43"/>
    </sheetView>
  </sheetViews>
  <sheetFormatPr baseColWidth="10" defaultColWidth="10.6640625" defaultRowHeight="14" customHeight="1" x14ac:dyDescent="0.15"/>
  <cols>
    <col min="1" max="1" width="68.5" style="106" customWidth="1"/>
    <col min="2" max="10" width="14.6640625" style="643" hidden="1" customWidth="1"/>
    <col min="11" max="12" width="14.6640625" style="642" hidden="1" customWidth="1"/>
    <col min="13" max="16" width="14.6640625" style="642" customWidth="1"/>
    <col min="17" max="17" width="14.6640625" style="644" customWidth="1"/>
    <col min="18" max="18" width="14.6640625" style="642" customWidth="1"/>
    <col min="19" max="19" width="2.5" style="642" customWidth="1"/>
    <col min="20" max="20" width="16.6640625" style="642" customWidth="1"/>
    <col min="21" max="16384" width="10.6640625" style="642"/>
  </cols>
  <sheetData>
    <row r="1" spans="1:22" s="107" customFormat="1" ht="14" customHeight="1" x14ac:dyDescent="0.15">
      <c r="A1" s="401" t="s">
        <v>621</v>
      </c>
      <c r="B1" s="106"/>
      <c r="C1" s="106"/>
      <c r="D1" s="106"/>
      <c r="E1" s="106"/>
      <c r="F1" s="106"/>
      <c r="G1" s="106"/>
      <c r="H1" s="106"/>
      <c r="I1" s="106"/>
      <c r="J1" s="106"/>
    </row>
    <row r="2" spans="1:22" s="696" customFormat="1" ht="28" customHeight="1" thickBot="1" x14ac:dyDescent="0.2">
      <c r="A2" s="471" t="s">
        <v>379</v>
      </c>
      <c r="B2" s="403" t="s">
        <v>143</v>
      </c>
      <c r="C2" s="404" t="s">
        <v>144</v>
      </c>
      <c r="D2" s="405" t="s">
        <v>145</v>
      </c>
      <c r="E2" s="935" t="s">
        <v>146</v>
      </c>
      <c r="F2" s="935" t="s">
        <v>628</v>
      </c>
      <c r="G2" s="470" t="s">
        <v>630</v>
      </c>
      <c r="H2" s="406" t="s">
        <v>147</v>
      </c>
      <c r="I2" s="407" t="s">
        <v>148</v>
      </c>
      <c r="J2" s="408" t="s">
        <v>16</v>
      </c>
      <c r="K2" s="408" t="s">
        <v>627</v>
      </c>
      <c r="L2" s="470" t="s">
        <v>631</v>
      </c>
      <c r="M2" s="409" t="s">
        <v>625</v>
      </c>
      <c r="N2" s="410" t="s">
        <v>475</v>
      </c>
      <c r="O2" s="410" t="s">
        <v>626</v>
      </c>
      <c r="P2" s="1412" t="s">
        <v>629</v>
      </c>
      <c r="Q2" s="1413" t="s">
        <v>623</v>
      </c>
      <c r="R2" s="1411" t="s">
        <v>624</v>
      </c>
      <c r="S2" s="107"/>
    </row>
    <row r="3" spans="1:22" ht="14" customHeight="1" x14ac:dyDescent="0.15">
      <c r="A3" s="892" t="s">
        <v>565</v>
      </c>
    </row>
    <row r="4" spans="1:22" s="145" customFormat="1" ht="18" customHeight="1" x14ac:dyDescent="0.15">
      <c r="A4" s="893" t="s">
        <v>479</v>
      </c>
      <c r="B4" s="142"/>
      <c r="C4" s="142"/>
      <c r="D4" s="142"/>
      <c r="E4" s="150"/>
      <c r="F4" s="150"/>
      <c r="G4" s="278"/>
      <c r="H4" s="142"/>
      <c r="I4" s="142"/>
      <c r="J4" s="150"/>
      <c r="K4" s="150"/>
      <c r="L4" s="281"/>
      <c r="N4" s="150"/>
      <c r="O4" s="150"/>
      <c r="P4" s="282"/>
      <c r="Q4" s="282"/>
      <c r="R4" s="150"/>
    </row>
    <row r="5" spans="1:22" s="149" customFormat="1" ht="14" customHeight="1" x14ac:dyDescent="0.15">
      <c r="A5" s="701" t="s">
        <v>426</v>
      </c>
      <c r="B5" s="1075">
        <f>Q!O14</f>
        <v>0</v>
      </c>
      <c r="C5" s="1075">
        <f>Q!O15</f>
        <v>0</v>
      </c>
      <c r="D5" s="1075">
        <f>Q!O16</f>
        <v>0</v>
      </c>
      <c r="E5" s="1075">
        <f>IF(SUM(Q!X17:X18)=0,0,Q!O17*Q!X17/SUM(Q!X17:X18))</f>
        <v>0</v>
      </c>
      <c r="F5" s="1075">
        <f>IF(SUM(Q!X17:X18)=0,0,Q!O17*Q!X18/SUM(Q!X17:X18))</f>
        <v>0</v>
      </c>
      <c r="G5" s="1076">
        <f>'3cluster_artery'!B23</f>
        <v>0</v>
      </c>
      <c r="H5" s="1075">
        <f>Q!O19</f>
        <v>0</v>
      </c>
      <c r="I5" s="1075">
        <f>Q!O20</f>
        <v>0</v>
      </c>
      <c r="J5" s="1075">
        <f>IF(SUM(Q!X21:X22)=0,0,Q!O21*Q!X21/SUM(Q!X21:X22))</f>
        <v>0</v>
      </c>
      <c r="K5" s="1075">
        <f>IF(SUM(Q!X21:X22)=0,0,Q!O21*Q!X22/SUM(Q!X21:X22))</f>
        <v>0</v>
      </c>
      <c r="L5" s="1076">
        <f>'3cluster_secondary'!B23</f>
        <v>0</v>
      </c>
      <c r="M5" s="1075">
        <f>Q!O23</f>
        <v>0</v>
      </c>
      <c r="N5" s="1075">
        <f>IF(SUM(Q!X24:X25)=0,0,Q!O24*Q!X24/SUM(Q!X24:X25))</f>
        <v>0</v>
      </c>
      <c r="O5" s="1075">
        <f>IF(SUM(Q!X24:X25)=0,0,Q!O24*Q!X25/SUM(Q!X24:X25))</f>
        <v>0</v>
      </c>
      <c r="P5" s="1077">
        <f>'3lcluster_local'!B23</f>
        <v>0</v>
      </c>
      <c r="Q5" s="1077">
        <f>'3lcluster_local_2level'!B37</f>
        <v>0</v>
      </c>
      <c r="R5" s="1075">
        <f>'3lcluster_local_2level'!B44</f>
        <v>0</v>
      </c>
      <c r="T5" s="145"/>
    </row>
    <row r="6" spans="1:22" s="144" customFormat="1" ht="14" hidden="1" customHeight="1" x14ac:dyDescent="0.15">
      <c r="A6" s="176" t="s">
        <v>81</v>
      </c>
      <c r="B6" s="1078"/>
      <c r="C6" s="1078"/>
      <c r="D6" s="1078"/>
      <c r="E6" s="1078"/>
      <c r="F6" s="1079">
        <f>E13</f>
        <v>90</v>
      </c>
      <c r="G6" s="1080"/>
      <c r="H6" s="1078"/>
      <c r="I6" s="1078"/>
      <c r="J6" s="1078"/>
      <c r="K6" s="1079">
        <f>J13</f>
        <v>65</v>
      </c>
      <c r="L6" s="1080"/>
      <c r="M6" s="1078"/>
      <c r="N6" s="1078"/>
      <c r="O6" s="1079">
        <f>N13</f>
        <v>50</v>
      </c>
      <c r="P6" s="1081"/>
      <c r="Q6" s="1081"/>
      <c r="R6" s="1078"/>
    </row>
    <row r="7" spans="1:22" s="144" customFormat="1" ht="14" hidden="1" customHeight="1" x14ac:dyDescent="0.15">
      <c r="A7" s="176" t="s">
        <v>150</v>
      </c>
      <c r="B7" s="385"/>
      <c r="C7" s="385"/>
      <c r="D7" s="385"/>
      <c r="E7" s="385"/>
      <c r="F7" s="385">
        <f>F6*F5</f>
        <v>0</v>
      </c>
      <c r="G7" s="1082"/>
      <c r="H7" s="385"/>
      <c r="I7" s="385"/>
      <c r="J7" s="385"/>
      <c r="K7" s="385">
        <f>K6*K5</f>
        <v>0</v>
      </c>
      <c r="L7" s="1082"/>
      <c r="M7" s="385"/>
      <c r="N7" s="385"/>
      <c r="O7" s="385">
        <f>O6*O5</f>
        <v>0</v>
      </c>
      <c r="P7" s="1083"/>
      <c r="Q7" s="1081"/>
      <c r="R7" s="385"/>
      <c r="S7" s="147"/>
    </row>
    <row r="8" spans="1:22" s="143" customFormat="1" ht="14" hidden="1" customHeight="1" x14ac:dyDescent="0.15">
      <c r="A8" s="180" t="s">
        <v>156</v>
      </c>
      <c r="B8" s="385"/>
      <c r="C8" s="385"/>
      <c r="D8" s="385"/>
      <c r="E8" s="385"/>
      <c r="F8" s="385">
        <f>-SUM('3cluster_artery'!D7:D8)</f>
        <v>0</v>
      </c>
      <c r="G8" s="1082"/>
      <c r="H8" s="385"/>
      <c r="I8" s="385"/>
      <c r="J8" s="385"/>
      <c r="K8" s="385">
        <f>-SUM('3cluster_secondary'!D7:D8)</f>
        <v>0</v>
      </c>
      <c r="L8" s="1084"/>
      <c r="M8" s="1085"/>
      <c r="N8" s="1085"/>
      <c r="O8" s="385">
        <f>-SUM('3lcluster_local'!D7:D8)*'3lcluster_local'!B3</f>
        <v>0</v>
      </c>
      <c r="P8" s="1086"/>
      <c r="Q8" s="1086"/>
      <c r="R8" s="1085"/>
    </row>
    <row r="9" spans="1:22" s="143" customFormat="1" ht="14" hidden="1" customHeight="1" x14ac:dyDescent="0.15">
      <c r="A9" s="180" t="s">
        <v>421</v>
      </c>
      <c r="B9" s="385"/>
      <c r="C9" s="385"/>
      <c r="D9" s="385"/>
      <c r="E9" s="385"/>
      <c r="F9" s="385">
        <f>SUM(F7:F8)</f>
        <v>0</v>
      </c>
      <c r="G9" s="1082"/>
      <c r="H9" s="385"/>
      <c r="I9" s="385"/>
      <c r="J9" s="385"/>
      <c r="K9" s="385">
        <f>SUM(K7:K8)</f>
        <v>0</v>
      </c>
      <c r="L9" s="1082"/>
      <c r="M9" s="385"/>
      <c r="N9" s="385"/>
      <c r="O9" s="385">
        <f>SUM(O7:O8)</f>
        <v>0</v>
      </c>
      <c r="P9" s="1083"/>
      <c r="Q9" s="1086"/>
      <c r="R9" s="385"/>
    </row>
    <row r="10" spans="1:22" s="143" customFormat="1" ht="14" customHeight="1" x14ac:dyDescent="0.15">
      <c r="A10" s="180" t="s">
        <v>188</v>
      </c>
      <c r="B10" s="1087">
        <f>Q!X14</f>
        <v>0</v>
      </c>
      <c r="C10" s="1087">
        <f>Q!X15</f>
        <v>0</v>
      </c>
      <c r="D10" s="1087">
        <f>Q!X16</f>
        <v>0</v>
      </c>
      <c r="E10" s="1087">
        <f>Q!X17</f>
        <v>0</v>
      </c>
      <c r="F10" s="1087">
        <f>Q!X18</f>
        <v>0</v>
      </c>
      <c r="G10" s="1088">
        <f>Q!X26</f>
        <v>0</v>
      </c>
      <c r="H10" s="1087">
        <f>Q!X19</f>
        <v>0</v>
      </c>
      <c r="I10" s="1087">
        <f>Q!X20</f>
        <v>0</v>
      </c>
      <c r="J10" s="1087">
        <f>Q!X21</f>
        <v>0</v>
      </c>
      <c r="K10" s="1087">
        <f>Q!X22</f>
        <v>0</v>
      </c>
      <c r="L10" s="1088">
        <f>Q!X27</f>
        <v>0</v>
      </c>
      <c r="M10" s="1087">
        <f>Q!X23</f>
        <v>0</v>
      </c>
      <c r="N10" s="1087">
        <f>Q!X24</f>
        <v>0</v>
      </c>
      <c r="O10" s="1087">
        <f>Q!X25</f>
        <v>0</v>
      </c>
      <c r="P10" s="1089">
        <f>Q!X28</f>
        <v>0</v>
      </c>
      <c r="Q10" s="1089">
        <f>Q!X29</f>
        <v>0</v>
      </c>
      <c r="R10" s="1087">
        <f>Q!X30</f>
        <v>0</v>
      </c>
      <c r="T10" s="499"/>
    </row>
    <row r="11" spans="1:22" s="143" customFormat="1" ht="14" customHeight="1" x14ac:dyDescent="0.15">
      <c r="A11" s="872" t="s">
        <v>555</v>
      </c>
      <c r="B11" s="1090">
        <f t="shared" ref="B11:R11" si="0">IF(B10=0,0,B5/B10)</f>
        <v>0</v>
      </c>
      <c r="C11" s="1090">
        <f t="shared" si="0"/>
        <v>0</v>
      </c>
      <c r="D11" s="1090">
        <f t="shared" si="0"/>
        <v>0</v>
      </c>
      <c r="E11" s="1090">
        <f t="shared" si="0"/>
        <v>0</v>
      </c>
      <c r="F11" s="1090">
        <f t="shared" si="0"/>
        <v>0</v>
      </c>
      <c r="G11" s="1091">
        <f t="shared" si="0"/>
        <v>0</v>
      </c>
      <c r="H11" s="1090">
        <f t="shared" si="0"/>
        <v>0</v>
      </c>
      <c r="I11" s="1090">
        <f t="shared" si="0"/>
        <v>0</v>
      </c>
      <c r="J11" s="1090">
        <f t="shared" si="0"/>
        <v>0</v>
      </c>
      <c r="K11" s="1090">
        <f t="shared" si="0"/>
        <v>0</v>
      </c>
      <c r="L11" s="1091">
        <f t="shared" si="0"/>
        <v>0</v>
      </c>
      <c r="M11" s="1090">
        <f t="shared" si="0"/>
        <v>0</v>
      </c>
      <c r="N11" s="1090">
        <f t="shared" si="0"/>
        <v>0</v>
      </c>
      <c r="O11" s="1090">
        <f t="shared" si="0"/>
        <v>0</v>
      </c>
      <c r="P11" s="1092">
        <f t="shared" si="0"/>
        <v>0</v>
      </c>
      <c r="Q11" s="1090">
        <f t="shared" si="0"/>
        <v>0</v>
      </c>
      <c r="R11" s="1090">
        <f t="shared" si="0"/>
        <v>0</v>
      </c>
    </row>
    <row r="12" spans="1:22" s="143" customFormat="1" ht="14" customHeight="1" x14ac:dyDescent="0.15">
      <c r="A12" s="178" t="s">
        <v>554</v>
      </c>
      <c r="B12" s="1093">
        <f>Q!AA14</f>
        <v>0</v>
      </c>
      <c r="C12" s="1093">
        <f>Q!AA15</f>
        <v>0</v>
      </c>
      <c r="D12" s="1093">
        <f>Q!AA16</f>
        <v>0</v>
      </c>
      <c r="E12" s="1093">
        <f>Q!AA17</f>
        <v>0</v>
      </c>
      <c r="F12" s="1093">
        <f>Q!AA18</f>
        <v>0</v>
      </c>
      <c r="G12" s="1094">
        <f>Q!AA26</f>
        <v>0</v>
      </c>
      <c r="H12" s="1093">
        <f>Q!AA19</f>
        <v>0</v>
      </c>
      <c r="I12" s="1093">
        <f>Q!AA20</f>
        <v>0</v>
      </c>
      <c r="J12" s="1093">
        <f>Q!AA21</f>
        <v>0</v>
      </c>
      <c r="K12" s="1093">
        <f>Q!AA22</f>
        <v>0</v>
      </c>
      <c r="L12" s="1094">
        <f>Q!AA27</f>
        <v>0</v>
      </c>
      <c r="M12" s="1093">
        <f>Q!AA23</f>
        <v>0</v>
      </c>
      <c r="N12" s="1093">
        <f>Q!AA24</f>
        <v>0</v>
      </c>
      <c r="O12" s="1093">
        <f>Q!AA25</f>
        <v>0</v>
      </c>
      <c r="P12" s="1095">
        <f>Q!AA28</f>
        <v>0</v>
      </c>
      <c r="Q12" s="1093">
        <f>Q!AA29</f>
        <v>0</v>
      </c>
      <c r="R12" s="1093">
        <f>Q!AA30</f>
        <v>0</v>
      </c>
    </row>
    <row r="13" spans="1:22" s="143" customFormat="1" ht="14" customHeight="1" x14ac:dyDescent="0.15">
      <c r="A13" s="176" t="s">
        <v>158</v>
      </c>
      <c r="B13" s="256">
        <f>'2neighborhood'!F52</f>
        <v>125</v>
      </c>
      <c r="C13" s="256">
        <f>'2neighborhood'!F53</f>
        <v>110</v>
      </c>
      <c r="D13" s="256">
        <f>'2neighborhood'!F54</f>
        <v>100</v>
      </c>
      <c r="E13" s="256">
        <f>'2neighborhood'!F55</f>
        <v>90</v>
      </c>
      <c r="F13" s="256">
        <f>IF(F5=0,0,F9/F5)</f>
        <v>0</v>
      </c>
      <c r="G13" s="279">
        <f>'3cluster_artery'!G23</f>
        <v>60</v>
      </c>
      <c r="H13" s="256">
        <f>'2neighborhood'!F57</f>
        <v>85</v>
      </c>
      <c r="I13" s="256">
        <f>'2neighborhood'!F58</f>
        <v>75</v>
      </c>
      <c r="J13" s="256">
        <f>'2neighborhood'!F59</f>
        <v>65</v>
      </c>
      <c r="K13" s="256">
        <f>IF(K5=0,0,K9/K5)</f>
        <v>0</v>
      </c>
      <c r="L13" s="279">
        <f>'3cluster_secondary'!G23</f>
        <v>48</v>
      </c>
      <c r="M13" s="256">
        <f>'2neighborhood'!F61</f>
        <v>60</v>
      </c>
      <c r="N13" s="256">
        <f>'2neighborhood'!F62</f>
        <v>50</v>
      </c>
      <c r="O13" s="256">
        <f>IF(O5=0,0,O9/O5)</f>
        <v>0</v>
      </c>
      <c r="P13" s="283">
        <f>'3lcluster_local'!G23</f>
        <v>45</v>
      </c>
      <c r="Q13" s="283">
        <f>'3lcluster_local_2level'!G37</f>
        <v>40</v>
      </c>
      <c r="R13" s="256">
        <f>'3lcluster_local_2level'!G44</f>
        <v>25</v>
      </c>
    </row>
    <row r="14" spans="1:22" s="204" customFormat="1" ht="14" customHeight="1" x14ac:dyDescent="0.15">
      <c r="A14" s="638" t="s">
        <v>286</v>
      </c>
      <c r="B14" s="1096">
        <f t="shared" ref="B14:G14" si="1">B12*B13</f>
        <v>0</v>
      </c>
      <c r="C14" s="1096">
        <f t="shared" si="1"/>
        <v>0</v>
      </c>
      <c r="D14" s="1096">
        <f t="shared" ref="D14:F14" si="2">D12*D13</f>
        <v>0</v>
      </c>
      <c r="E14" s="1096">
        <f t="shared" si="2"/>
        <v>0</v>
      </c>
      <c r="F14" s="1096">
        <f t="shared" si="2"/>
        <v>0</v>
      </c>
      <c r="G14" s="1097">
        <f t="shared" si="1"/>
        <v>0</v>
      </c>
      <c r="H14" s="1096">
        <f t="shared" ref="H14:Q14" si="3">H12*H13</f>
        <v>0</v>
      </c>
      <c r="I14" s="1096">
        <f t="shared" si="3"/>
        <v>0</v>
      </c>
      <c r="J14" s="1096">
        <f t="shared" ref="J14:K14" si="4">J12*J13</f>
        <v>0</v>
      </c>
      <c r="K14" s="1096">
        <f t="shared" si="4"/>
        <v>0</v>
      </c>
      <c r="L14" s="1097">
        <f t="shared" si="3"/>
        <v>0</v>
      </c>
      <c r="M14" s="1096">
        <f t="shared" si="3"/>
        <v>0</v>
      </c>
      <c r="N14" s="1096">
        <f t="shared" si="3"/>
        <v>0</v>
      </c>
      <c r="O14" s="1096">
        <f t="shared" ref="O14" si="5">O12*O13</f>
        <v>0</v>
      </c>
      <c r="P14" s="1098">
        <f t="shared" si="3"/>
        <v>0</v>
      </c>
      <c r="Q14" s="1098">
        <f t="shared" si="3"/>
        <v>0</v>
      </c>
      <c r="R14" s="1096">
        <f t="shared" ref="R14" si="6">R12*R13</f>
        <v>0</v>
      </c>
      <c r="V14" s="143"/>
    </row>
    <row r="15" spans="1:22" s="149" customFormat="1" ht="14" customHeight="1" x14ac:dyDescent="0.15">
      <c r="A15" s="175" t="s">
        <v>173</v>
      </c>
      <c r="B15" s="1099">
        <v>0</v>
      </c>
      <c r="C15" s="1100">
        <f>B15</f>
        <v>0</v>
      </c>
      <c r="D15" s="1100">
        <f>B15</f>
        <v>0</v>
      </c>
      <c r="E15" s="1100">
        <f>B15</f>
        <v>0</v>
      </c>
      <c r="F15" s="1100">
        <f>B15</f>
        <v>0</v>
      </c>
      <c r="G15" s="1101">
        <v>0</v>
      </c>
      <c r="H15" s="1099">
        <v>0</v>
      </c>
      <c r="I15" s="1100">
        <f>H15</f>
        <v>0</v>
      </c>
      <c r="J15" s="1100">
        <f>H15</f>
        <v>0</v>
      </c>
      <c r="K15" s="1100">
        <f>H15</f>
        <v>0</v>
      </c>
      <c r="L15" s="1101">
        <v>0</v>
      </c>
      <c r="M15" s="1102">
        <v>0</v>
      </c>
      <c r="N15" s="1100">
        <f>M15</f>
        <v>0</v>
      </c>
      <c r="O15" s="1100">
        <f>M15</f>
        <v>0</v>
      </c>
      <c r="P15" s="648">
        <v>0</v>
      </c>
      <c r="Q15" s="1103">
        <f>P15</f>
        <v>0</v>
      </c>
      <c r="R15" s="1100">
        <f>P15</f>
        <v>0</v>
      </c>
    </row>
    <row r="16" spans="1:22" s="149" customFormat="1" ht="14" customHeight="1" x14ac:dyDescent="0.15">
      <c r="A16" s="175" t="s">
        <v>172</v>
      </c>
      <c r="B16" s="1099">
        <v>0</v>
      </c>
      <c r="C16" s="1100">
        <f>B16</f>
        <v>0</v>
      </c>
      <c r="D16" s="1100">
        <f>B16</f>
        <v>0</v>
      </c>
      <c r="E16" s="1100">
        <f>B16</f>
        <v>0</v>
      </c>
      <c r="F16" s="1100">
        <f>B16</f>
        <v>0</v>
      </c>
      <c r="G16" s="1101">
        <v>0</v>
      </c>
      <c r="H16" s="1099">
        <v>0</v>
      </c>
      <c r="I16" s="1100">
        <f>H16</f>
        <v>0</v>
      </c>
      <c r="J16" s="1100">
        <f>H16</f>
        <v>0</v>
      </c>
      <c r="K16" s="1100">
        <f>H16</f>
        <v>0</v>
      </c>
      <c r="L16" s="1101">
        <v>0.01</v>
      </c>
      <c r="M16" s="1102">
        <v>0.02</v>
      </c>
      <c r="N16" s="1100">
        <f>M16</f>
        <v>0.02</v>
      </c>
      <c r="O16" s="1100">
        <f>M16</f>
        <v>0.02</v>
      </c>
      <c r="P16" s="648">
        <v>0</v>
      </c>
      <c r="Q16" s="1103">
        <f>P16</f>
        <v>0</v>
      </c>
      <c r="R16" s="1100">
        <f>P16</f>
        <v>0</v>
      </c>
    </row>
    <row r="17" spans="1:22" s="146" customFormat="1" ht="14" customHeight="1" x14ac:dyDescent="0.15">
      <c r="A17" s="181" t="s">
        <v>460</v>
      </c>
      <c r="B17" s="900">
        <f t="shared" ref="B17:Q17" si="7">B14*(1+B15)*(1+B16)</f>
        <v>0</v>
      </c>
      <c r="C17" s="900">
        <f t="shared" si="7"/>
        <v>0</v>
      </c>
      <c r="D17" s="900">
        <f t="shared" ref="D17:F17" si="8">D14*(1+D15)*(1+D16)</f>
        <v>0</v>
      </c>
      <c r="E17" s="900">
        <f t="shared" si="8"/>
        <v>0</v>
      </c>
      <c r="F17" s="900">
        <f t="shared" si="8"/>
        <v>0</v>
      </c>
      <c r="G17" s="1104">
        <f t="shared" si="7"/>
        <v>0</v>
      </c>
      <c r="H17" s="900">
        <f t="shared" si="7"/>
        <v>0</v>
      </c>
      <c r="I17" s="900">
        <f t="shared" si="7"/>
        <v>0</v>
      </c>
      <c r="J17" s="900">
        <f t="shared" ref="J17:K17" si="9">J14*(1+J15)*(1+J16)</f>
        <v>0</v>
      </c>
      <c r="K17" s="900">
        <f t="shared" si="9"/>
        <v>0</v>
      </c>
      <c r="L17" s="1104">
        <f t="shared" si="7"/>
        <v>0</v>
      </c>
      <c r="M17" s="900">
        <f t="shared" si="7"/>
        <v>0</v>
      </c>
      <c r="N17" s="900">
        <f t="shared" si="7"/>
        <v>0</v>
      </c>
      <c r="O17" s="900">
        <f t="shared" ref="O17" si="10">O14*(1+O15)*(1+O16)</f>
        <v>0</v>
      </c>
      <c r="P17" s="1105">
        <f t="shared" si="7"/>
        <v>0</v>
      </c>
      <c r="Q17" s="1105">
        <f t="shared" si="7"/>
        <v>0</v>
      </c>
      <c r="R17" s="900">
        <f t="shared" ref="R17" si="11">R14*(1+R15)*(1+R16)</f>
        <v>0</v>
      </c>
    </row>
    <row r="18" spans="1:22" s="146" customFormat="1" ht="14" customHeight="1" x14ac:dyDescent="0.15">
      <c r="A18" s="697"/>
      <c r="B18" s="900"/>
      <c r="C18" s="900"/>
      <c r="D18" s="900"/>
      <c r="E18" s="900"/>
      <c r="F18" s="900"/>
      <c r="G18" s="1104"/>
      <c r="H18" s="900"/>
      <c r="I18" s="900"/>
      <c r="J18" s="900"/>
      <c r="K18" s="900"/>
      <c r="L18" s="1104"/>
      <c r="M18" s="900"/>
      <c r="N18" s="900"/>
      <c r="O18" s="900"/>
      <c r="P18" s="900"/>
      <c r="Q18" s="900"/>
      <c r="R18" s="900"/>
      <c r="S18" s="148"/>
      <c r="T18" s="148"/>
      <c r="U18" s="148"/>
      <c r="V18" s="143"/>
    </row>
    <row r="19" spans="1:22" s="625" customFormat="1" ht="13" customHeight="1" x14ac:dyDescent="0.15">
      <c r="A19" s="893" t="s">
        <v>484</v>
      </c>
      <c r="B19" s="1106"/>
      <c r="C19" s="1106"/>
      <c r="D19" s="1106"/>
      <c r="E19" s="1106"/>
      <c r="F19" s="1106"/>
      <c r="G19" s="1107"/>
      <c r="H19" s="1106"/>
      <c r="I19" s="1106"/>
      <c r="J19" s="1106"/>
      <c r="K19" s="1108"/>
      <c r="L19" s="1109"/>
      <c r="M19" s="1110"/>
      <c r="N19" s="1110"/>
      <c r="O19" s="1110"/>
      <c r="P19" s="1110"/>
      <c r="Q19" s="1110"/>
      <c r="R19" s="1110"/>
      <c r="S19" s="640"/>
      <c r="T19" s="640"/>
      <c r="U19" s="640"/>
      <c r="V19" s="143"/>
    </row>
    <row r="20" spans="1:22" s="144" customFormat="1" ht="14" customHeight="1" x14ac:dyDescent="0.15">
      <c r="A20" s="1292" t="s">
        <v>166</v>
      </c>
      <c r="B20" s="1293" t="str">
        <f>'4buildings'!C20</f>
        <v>lot only</v>
      </c>
      <c r="C20" s="1294" t="s">
        <v>165</v>
      </c>
      <c r="D20" s="1294" t="s">
        <v>165</v>
      </c>
      <c r="E20" s="1294" t="s">
        <v>557</v>
      </c>
      <c r="F20" s="1295" t="str">
        <f>E20</f>
        <v>mixed-use building</v>
      </c>
      <c r="G20" s="1296" t="s">
        <v>165</v>
      </c>
      <c r="H20" s="1293" t="s">
        <v>165</v>
      </c>
      <c r="I20" s="1294" t="s">
        <v>165</v>
      </c>
      <c r="J20" s="1294" t="s">
        <v>557</v>
      </c>
      <c r="K20" s="1295" t="str">
        <f>J20</f>
        <v>mixed-use building</v>
      </c>
      <c r="L20" s="1296" t="s">
        <v>165</v>
      </c>
      <c r="M20" s="1297" t="s">
        <v>167</v>
      </c>
      <c r="N20" s="1298" t="s">
        <v>170</v>
      </c>
      <c r="O20" s="1299" t="str">
        <f>N20</f>
        <v>shell</v>
      </c>
      <c r="P20" s="1299" t="s">
        <v>168</v>
      </c>
      <c r="Q20" s="1298" t="s">
        <v>168</v>
      </c>
      <c r="R20" s="1298" t="s">
        <v>169</v>
      </c>
      <c r="S20" s="147"/>
      <c r="V20" s="143"/>
    </row>
    <row r="21" spans="1:22" s="625" customFormat="1" ht="140" customHeight="1" x14ac:dyDescent="0.15">
      <c r="A21" s="1290" t="s">
        <v>483</v>
      </c>
      <c r="B21" s="1287"/>
      <c r="C21" s="1287"/>
      <c r="D21" s="1287"/>
      <c r="E21" s="1287"/>
      <c r="F21" s="1287"/>
      <c r="G21" s="1287"/>
      <c r="H21" s="1287"/>
      <c r="I21" s="1287"/>
      <c r="J21" s="1287"/>
      <c r="K21" s="1288"/>
      <c r="L21" s="1289"/>
      <c r="M21" s="1291" t="s">
        <v>439</v>
      </c>
      <c r="N21" s="1291" t="s">
        <v>438</v>
      </c>
      <c r="O21" s="1291" t="s">
        <v>482</v>
      </c>
      <c r="P21" s="1291" t="s">
        <v>481</v>
      </c>
      <c r="Q21" s="1291" t="s">
        <v>480</v>
      </c>
      <c r="R21" s="1291" t="s">
        <v>610</v>
      </c>
    </row>
    <row r="22" spans="1:22" s="144" customFormat="1" ht="14" customHeight="1" x14ac:dyDescent="0.15">
      <c r="A22" s="181" t="s">
        <v>556</v>
      </c>
      <c r="B22" s="1117">
        <f>IF(B5=0,0,Q!AU14)</f>
        <v>0</v>
      </c>
      <c r="C22" s="1117">
        <f>IF(C5=0,0,Q!AU15)</f>
        <v>0</v>
      </c>
      <c r="D22" s="1117">
        <f>IF(D5=0,0,Q!AU16)</f>
        <v>0</v>
      </c>
      <c r="E22" s="1117">
        <f>IF(E5=0,0,Q!AU17)</f>
        <v>0</v>
      </c>
      <c r="F22" s="1117">
        <f>IF(F5=0,0,Q!AU18)</f>
        <v>0</v>
      </c>
      <c r="G22" s="1118">
        <f>IF(G5=0,0,Q!AU26)</f>
        <v>0</v>
      </c>
      <c r="H22" s="1117">
        <f>IF(H5=0,0,Q!AU19)</f>
        <v>0</v>
      </c>
      <c r="I22" s="1117">
        <f>IF(I5=0,0,Q!AU20)</f>
        <v>0</v>
      </c>
      <c r="J22" s="1117">
        <f>IF(J5=0,0,Q!AU21)</f>
        <v>0</v>
      </c>
      <c r="K22" s="1117">
        <f>IF(K5=0,0,Q!AU22)</f>
        <v>0</v>
      </c>
      <c r="L22" s="1118">
        <f>IF(L5=0,0,Q!AU27)</f>
        <v>0</v>
      </c>
      <c r="M22" s="1117">
        <f>IF(M5=0,0,Q!AU23)</f>
        <v>0</v>
      </c>
      <c r="N22" s="1117">
        <f>IF(N5=0,0,Q!AU24)</f>
        <v>0</v>
      </c>
      <c r="O22" s="1117">
        <f>IF(O5=0,0,Q!AU25)</f>
        <v>0</v>
      </c>
      <c r="P22" s="1119">
        <f>IF(P5=0,0,Q!AU28)</f>
        <v>0</v>
      </c>
      <c r="Q22" s="1119">
        <f>IF(Q5=0,0,Q!AU29)</f>
        <v>0</v>
      </c>
      <c r="R22" s="1117">
        <f>IF(R5=0,0,Q!AU30)</f>
        <v>0</v>
      </c>
      <c r="T22" s="499"/>
      <c r="V22" s="143"/>
    </row>
    <row r="23" spans="1:22" s="143" customFormat="1" ht="14" customHeight="1" x14ac:dyDescent="0.15">
      <c r="A23" s="177" t="s">
        <v>662</v>
      </c>
      <c r="B23" s="1126">
        <v>0</v>
      </c>
      <c r="C23" s="1126">
        <v>0</v>
      </c>
      <c r="D23" s="1126">
        <v>0</v>
      </c>
      <c r="E23" s="1126">
        <v>0</v>
      </c>
      <c r="F23" s="1126">
        <v>0</v>
      </c>
      <c r="G23" s="1127">
        <v>0</v>
      </c>
      <c r="H23" s="1128">
        <v>0</v>
      </c>
      <c r="I23" s="1126">
        <v>0</v>
      </c>
      <c r="J23" s="1126">
        <v>0</v>
      </c>
      <c r="K23" s="1126">
        <v>0</v>
      </c>
      <c r="L23" s="1127">
        <v>0</v>
      </c>
      <c r="M23" s="1128">
        <v>0</v>
      </c>
      <c r="N23" s="1126">
        <v>0.5</v>
      </c>
      <c r="O23" s="1129">
        <v>0.5</v>
      </c>
      <c r="P23" s="1126">
        <v>0</v>
      </c>
      <c r="Q23" s="1128">
        <v>0</v>
      </c>
      <c r="R23" s="1126">
        <v>0</v>
      </c>
    </row>
    <row r="24" spans="1:22" s="143" customFormat="1" ht="14" customHeight="1" x14ac:dyDescent="0.15">
      <c r="A24" s="176" t="s">
        <v>660</v>
      </c>
      <c r="B24" s="1117">
        <f t="shared" ref="B24:R24" si="12">B22*(1-B23)</f>
        <v>0</v>
      </c>
      <c r="C24" s="1117">
        <f t="shared" si="12"/>
        <v>0</v>
      </c>
      <c r="D24" s="1117">
        <f t="shared" si="12"/>
        <v>0</v>
      </c>
      <c r="E24" s="1117">
        <f t="shared" si="12"/>
        <v>0</v>
      </c>
      <c r="F24" s="1117">
        <f t="shared" si="12"/>
        <v>0</v>
      </c>
      <c r="G24" s="1118">
        <f t="shared" si="12"/>
        <v>0</v>
      </c>
      <c r="H24" s="1117">
        <f t="shared" si="12"/>
        <v>0</v>
      </c>
      <c r="I24" s="1117">
        <f t="shared" si="12"/>
        <v>0</v>
      </c>
      <c r="J24" s="1117">
        <f t="shared" si="12"/>
        <v>0</v>
      </c>
      <c r="K24" s="1117">
        <f t="shared" si="12"/>
        <v>0</v>
      </c>
      <c r="L24" s="1118">
        <f t="shared" si="12"/>
        <v>0</v>
      </c>
      <c r="M24" s="1117">
        <f t="shared" si="12"/>
        <v>0</v>
      </c>
      <c r="N24" s="1117">
        <f t="shared" si="12"/>
        <v>0</v>
      </c>
      <c r="O24" s="1117">
        <f t="shared" si="12"/>
        <v>0</v>
      </c>
      <c r="P24" s="1117">
        <f t="shared" si="12"/>
        <v>0</v>
      </c>
      <c r="Q24" s="1117">
        <f t="shared" si="12"/>
        <v>0</v>
      </c>
      <c r="R24" s="1117">
        <f t="shared" si="12"/>
        <v>0</v>
      </c>
    </row>
    <row r="25" spans="1:22" s="144" customFormat="1" ht="14" customHeight="1" x14ac:dyDescent="0.15">
      <c r="A25" s="176" t="s">
        <v>465</v>
      </c>
      <c r="B25" s="1111">
        <v>0</v>
      </c>
      <c r="C25" s="1112">
        <v>300</v>
      </c>
      <c r="D25" s="1112">
        <v>250</v>
      </c>
      <c r="E25" s="1112">
        <v>200</v>
      </c>
      <c r="F25" s="1120">
        <v>200</v>
      </c>
      <c r="G25" s="1113">
        <v>150</v>
      </c>
      <c r="H25" s="1111">
        <v>225</v>
      </c>
      <c r="I25" s="1112">
        <v>200</v>
      </c>
      <c r="J25" s="1112">
        <v>180</v>
      </c>
      <c r="K25" s="1120">
        <v>180</v>
      </c>
      <c r="L25" s="1113">
        <v>120</v>
      </c>
      <c r="M25" s="1114">
        <v>280</v>
      </c>
      <c r="N25" s="1115">
        <v>240</v>
      </c>
      <c r="O25" s="1116">
        <v>240</v>
      </c>
      <c r="P25" s="1116">
        <v>200</v>
      </c>
      <c r="Q25" s="1115">
        <v>200</v>
      </c>
      <c r="R25" s="1115">
        <v>150</v>
      </c>
      <c r="S25" s="147"/>
      <c r="V25" s="143"/>
    </row>
    <row r="26" spans="1:22" s="145" customFormat="1" ht="14" customHeight="1" x14ac:dyDescent="0.15">
      <c r="A26" s="176" t="s">
        <v>287</v>
      </c>
      <c r="B26" s="385">
        <f t="shared" ref="B26:L26" si="13">B24*B25</f>
        <v>0</v>
      </c>
      <c r="C26" s="385">
        <f t="shared" si="13"/>
        <v>0</v>
      </c>
      <c r="D26" s="385">
        <f t="shared" si="13"/>
        <v>0</v>
      </c>
      <c r="E26" s="385">
        <f t="shared" si="13"/>
        <v>0</v>
      </c>
      <c r="F26" s="385">
        <f t="shared" si="13"/>
        <v>0</v>
      </c>
      <c r="G26" s="1082">
        <f t="shared" si="13"/>
        <v>0</v>
      </c>
      <c r="H26" s="385">
        <f t="shared" si="13"/>
        <v>0</v>
      </c>
      <c r="I26" s="385">
        <f t="shared" si="13"/>
        <v>0</v>
      </c>
      <c r="J26" s="385">
        <f t="shared" si="13"/>
        <v>0</v>
      </c>
      <c r="K26" s="385">
        <f t="shared" si="13"/>
        <v>0</v>
      </c>
      <c r="L26" s="1082">
        <f t="shared" si="13"/>
        <v>0</v>
      </c>
      <c r="M26" s="385">
        <f>M24*M25</f>
        <v>0</v>
      </c>
      <c r="N26" s="385">
        <f t="shared" ref="N26:R26" si="14">N24*N25</f>
        <v>0</v>
      </c>
      <c r="O26" s="385">
        <f t="shared" si="14"/>
        <v>0</v>
      </c>
      <c r="P26" s="1083">
        <f t="shared" si="14"/>
        <v>0</v>
      </c>
      <c r="Q26" s="1083">
        <f t="shared" si="14"/>
        <v>0</v>
      </c>
      <c r="R26" s="385">
        <f t="shared" si="14"/>
        <v>0</v>
      </c>
      <c r="V26" s="143"/>
    </row>
    <row r="27" spans="1:22" s="149" customFormat="1" ht="14" customHeight="1" x14ac:dyDescent="0.15">
      <c r="A27" s="175" t="s">
        <v>173</v>
      </c>
      <c r="B27" s="1099">
        <v>0.05</v>
      </c>
      <c r="C27" s="1100">
        <f>B27</f>
        <v>0.05</v>
      </c>
      <c r="D27" s="1100">
        <f>B27</f>
        <v>0.05</v>
      </c>
      <c r="E27" s="1100">
        <f>B27</f>
        <v>0.05</v>
      </c>
      <c r="F27" s="1100">
        <f>B27</f>
        <v>0.05</v>
      </c>
      <c r="G27" s="1101">
        <v>0.05</v>
      </c>
      <c r="H27" s="1102">
        <f>G27</f>
        <v>0.05</v>
      </c>
      <c r="I27" s="1100">
        <f>H27</f>
        <v>0.05</v>
      </c>
      <c r="J27" s="1100">
        <f>H27</f>
        <v>0.05</v>
      </c>
      <c r="K27" s="1100">
        <f>H27</f>
        <v>0.05</v>
      </c>
      <c r="L27" s="1101">
        <v>0.05</v>
      </c>
      <c r="M27" s="1102">
        <f>L27</f>
        <v>0.05</v>
      </c>
      <c r="N27" s="1121">
        <f>M27</f>
        <v>0.05</v>
      </c>
      <c r="O27" s="1121">
        <f>M27</f>
        <v>0.05</v>
      </c>
      <c r="P27" s="648">
        <v>0.05</v>
      </c>
      <c r="Q27" s="1103">
        <f>P27</f>
        <v>0.05</v>
      </c>
      <c r="R27" s="1100">
        <f>Q27</f>
        <v>0.05</v>
      </c>
      <c r="V27" s="143"/>
    </row>
    <row r="28" spans="1:22" s="149" customFormat="1" ht="14" customHeight="1" x14ac:dyDescent="0.15">
      <c r="A28" s="175" t="s">
        <v>172</v>
      </c>
      <c r="B28" s="1099">
        <v>0.1</v>
      </c>
      <c r="C28" s="1100">
        <f>B28</f>
        <v>0.1</v>
      </c>
      <c r="D28" s="1100">
        <f>B28</f>
        <v>0.1</v>
      </c>
      <c r="E28" s="1100">
        <f>B28</f>
        <v>0.1</v>
      </c>
      <c r="F28" s="1100">
        <f>B28</f>
        <v>0.1</v>
      </c>
      <c r="G28" s="1101">
        <f>M28</f>
        <v>0.1</v>
      </c>
      <c r="H28" s="1102">
        <v>0.1</v>
      </c>
      <c r="I28" s="1100">
        <f>H28</f>
        <v>0.1</v>
      </c>
      <c r="J28" s="1100">
        <f>H28</f>
        <v>0.1</v>
      </c>
      <c r="K28" s="1100">
        <f>H28</f>
        <v>0.1</v>
      </c>
      <c r="L28" s="1101">
        <f>M28</f>
        <v>0.1</v>
      </c>
      <c r="M28" s="1102">
        <v>0.1</v>
      </c>
      <c r="N28" s="1121">
        <f>M28</f>
        <v>0.1</v>
      </c>
      <c r="O28" s="1121">
        <f>M28</f>
        <v>0.1</v>
      </c>
      <c r="P28" s="648">
        <v>0.1</v>
      </c>
      <c r="Q28" s="1103">
        <f>P28</f>
        <v>0.1</v>
      </c>
      <c r="R28" s="1100">
        <f>P28</f>
        <v>0.1</v>
      </c>
      <c r="V28" s="143"/>
    </row>
    <row r="29" spans="1:22" s="146" customFormat="1" ht="14" customHeight="1" x14ac:dyDescent="0.15">
      <c r="A29" s="181" t="s">
        <v>461</v>
      </c>
      <c r="B29" s="900">
        <f t="shared" ref="B29:Q29" si="15">B26*(1+B27)*(1+B28)</f>
        <v>0</v>
      </c>
      <c r="C29" s="900">
        <f t="shared" si="15"/>
        <v>0</v>
      </c>
      <c r="D29" s="900">
        <f t="shared" ref="D29:F29" si="16">D26*(1+D27)*(1+D28)</f>
        <v>0</v>
      </c>
      <c r="E29" s="900">
        <f t="shared" si="16"/>
        <v>0</v>
      </c>
      <c r="F29" s="900">
        <f t="shared" si="16"/>
        <v>0</v>
      </c>
      <c r="G29" s="1104">
        <f t="shared" si="15"/>
        <v>0</v>
      </c>
      <c r="H29" s="900">
        <f t="shared" si="15"/>
        <v>0</v>
      </c>
      <c r="I29" s="900">
        <f t="shared" si="15"/>
        <v>0</v>
      </c>
      <c r="J29" s="900">
        <f t="shared" ref="J29:K29" si="17">J26*(1+J27)*(1+J28)</f>
        <v>0</v>
      </c>
      <c r="K29" s="900">
        <f t="shared" si="17"/>
        <v>0</v>
      </c>
      <c r="L29" s="1104">
        <f t="shared" si="15"/>
        <v>0</v>
      </c>
      <c r="M29" s="900">
        <f t="shared" si="15"/>
        <v>0</v>
      </c>
      <c r="N29" s="900">
        <f t="shared" si="15"/>
        <v>0</v>
      </c>
      <c r="O29" s="900">
        <f t="shared" ref="O29" si="18">O26*(1+O27)*(1+O28)</f>
        <v>0</v>
      </c>
      <c r="P29" s="1105">
        <f t="shared" si="15"/>
        <v>0</v>
      </c>
      <c r="Q29" s="1105">
        <f t="shared" si="15"/>
        <v>0</v>
      </c>
      <c r="R29" s="900">
        <f t="shared" ref="R29" si="19">R26*(1+R27)*(1+R28)</f>
        <v>0</v>
      </c>
      <c r="V29" s="143"/>
    </row>
    <row r="30" spans="1:22" s="146" customFormat="1" ht="14" customHeight="1" x14ac:dyDescent="0.15">
      <c r="A30" s="181"/>
      <c r="B30" s="900"/>
      <c r="C30" s="900"/>
      <c r="D30" s="900"/>
      <c r="E30" s="900"/>
      <c r="F30" s="900"/>
      <c r="G30" s="1104"/>
      <c r="H30" s="900"/>
      <c r="I30" s="900"/>
      <c r="J30" s="900"/>
      <c r="K30" s="900"/>
      <c r="L30" s="1104"/>
      <c r="M30" s="900"/>
      <c r="N30" s="900"/>
      <c r="O30" s="900"/>
      <c r="P30" s="900"/>
      <c r="Q30" s="900"/>
      <c r="R30" s="900"/>
      <c r="S30" s="148"/>
      <c r="V30" s="143"/>
    </row>
    <row r="31" spans="1:22" s="146" customFormat="1" ht="14" customHeight="1" x14ac:dyDescent="0.15">
      <c r="A31" s="181" t="s">
        <v>462</v>
      </c>
      <c r="B31" s="900">
        <f t="shared" ref="B31:R31" si="20">B29+B17</f>
        <v>0</v>
      </c>
      <c r="C31" s="900">
        <f t="shared" si="20"/>
        <v>0</v>
      </c>
      <c r="D31" s="900">
        <f t="shared" si="20"/>
        <v>0</v>
      </c>
      <c r="E31" s="900">
        <f t="shared" si="20"/>
        <v>0</v>
      </c>
      <c r="F31" s="900">
        <f t="shared" si="20"/>
        <v>0</v>
      </c>
      <c r="G31" s="1104">
        <f t="shared" si="20"/>
        <v>0</v>
      </c>
      <c r="H31" s="900">
        <f t="shared" si="20"/>
        <v>0</v>
      </c>
      <c r="I31" s="900">
        <f t="shared" si="20"/>
        <v>0</v>
      </c>
      <c r="J31" s="900">
        <f t="shared" si="20"/>
        <v>0</v>
      </c>
      <c r="K31" s="900">
        <f t="shared" si="20"/>
        <v>0</v>
      </c>
      <c r="L31" s="1104">
        <f t="shared" si="20"/>
        <v>0</v>
      </c>
      <c r="M31" s="900">
        <f t="shared" si="20"/>
        <v>0</v>
      </c>
      <c r="N31" s="900">
        <f t="shared" si="20"/>
        <v>0</v>
      </c>
      <c r="O31" s="900">
        <f t="shared" si="20"/>
        <v>0</v>
      </c>
      <c r="P31" s="1105">
        <f t="shared" si="20"/>
        <v>0</v>
      </c>
      <c r="Q31" s="1105">
        <f t="shared" si="20"/>
        <v>0</v>
      </c>
      <c r="R31" s="900">
        <f t="shared" si="20"/>
        <v>0</v>
      </c>
      <c r="V31" s="143"/>
    </row>
    <row r="32" spans="1:22" ht="14" customHeight="1" x14ac:dyDescent="0.15">
      <c r="A32" s="177" t="s">
        <v>560</v>
      </c>
      <c r="B32" s="1102">
        <v>0.05</v>
      </c>
      <c r="C32" s="1121">
        <f>B32</f>
        <v>0.05</v>
      </c>
      <c r="D32" s="1121">
        <f>B32</f>
        <v>0.05</v>
      </c>
      <c r="E32" s="1121">
        <f>B32</f>
        <v>0.05</v>
      </c>
      <c r="F32" s="1121">
        <f>B32</f>
        <v>0.05</v>
      </c>
      <c r="G32" s="1101">
        <v>0.05</v>
      </c>
      <c r="H32" s="1102">
        <v>0.05</v>
      </c>
      <c r="I32" s="1100">
        <f>H32</f>
        <v>0.05</v>
      </c>
      <c r="J32" s="1100">
        <f>H32</f>
        <v>0.05</v>
      </c>
      <c r="K32" s="1100">
        <f>H32</f>
        <v>0.05</v>
      </c>
      <c r="L32" s="1101">
        <v>0.05</v>
      </c>
      <c r="M32" s="1102">
        <v>0.05</v>
      </c>
      <c r="N32" s="1121">
        <f>M32</f>
        <v>0.05</v>
      </c>
      <c r="O32" s="1121">
        <f>M32</f>
        <v>0.05</v>
      </c>
      <c r="P32" s="648">
        <v>0.05</v>
      </c>
      <c r="Q32" s="1103">
        <f>P32</f>
        <v>0.05</v>
      </c>
      <c r="R32" s="1100">
        <f>P32</f>
        <v>0.05</v>
      </c>
      <c r="V32" s="143"/>
    </row>
    <row r="33" spans="1:22" ht="14" customHeight="1" x14ac:dyDescent="0.15">
      <c r="A33" s="181" t="s">
        <v>562</v>
      </c>
      <c r="B33" s="900">
        <f>B31*(1+B32)</f>
        <v>0</v>
      </c>
      <c r="C33" s="900">
        <f t="shared" ref="C33:R33" si="21">C31*(1+C32)</f>
        <v>0</v>
      </c>
      <c r="D33" s="900">
        <f t="shared" si="21"/>
        <v>0</v>
      </c>
      <c r="E33" s="900">
        <f t="shared" si="21"/>
        <v>0</v>
      </c>
      <c r="F33" s="900">
        <f t="shared" si="21"/>
        <v>0</v>
      </c>
      <c r="G33" s="900">
        <f t="shared" si="21"/>
        <v>0</v>
      </c>
      <c r="H33" s="900">
        <f t="shared" si="21"/>
        <v>0</v>
      </c>
      <c r="I33" s="900">
        <f t="shared" si="21"/>
        <v>0</v>
      </c>
      <c r="J33" s="900">
        <f t="shared" si="21"/>
        <v>0</v>
      </c>
      <c r="K33" s="900">
        <f t="shared" si="21"/>
        <v>0</v>
      </c>
      <c r="L33" s="900">
        <f t="shared" si="21"/>
        <v>0</v>
      </c>
      <c r="M33" s="900">
        <f t="shared" si="21"/>
        <v>0</v>
      </c>
      <c r="N33" s="900">
        <f t="shared" si="21"/>
        <v>0</v>
      </c>
      <c r="O33" s="900">
        <f t="shared" si="21"/>
        <v>0</v>
      </c>
      <c r="P33" s="900">
        <f t="shared" si="21"/>
        <v>0</v>
      </c>
      <c r="Q33" s="900">
        <f t="shared" si="21"/>
        <v>0</v>
      </c>
      <c r="R33" s="900">
        <f t="shared" si="21"/>
        <v>0</v>
      </c>
      <c r="V33" s="143"/>
    </row>
    <row r="34" spans="1:22" ht="14" customHeight="1" x14ac:dyDescent="0.15">
      <c r="A34" s="177" t="s">
        <v>174</v>
      </c>
      <c r="B34" s="1102">
        <v>0.15</v>
      </c>
      <c r="C34" s="1121">
        <f>B34</f>
        <v>0.15</v>
      </c>
      <c r="D34" s="1121">
        <f>B34</f>
        <v>0.15</v>
      </c>
      <c r="E34" s="1121">
        <f>B34</f>
        <v>0.15</v>
      </c>
      <c r="F34" s="1121">
        <f>B34</f>
        <v>0.15</v>
      </c>
      <c r="G34" s="1101">
        <v>0.15</v>
      </c>
      <c r="H34" s="1102">
        <v>0.15</v>
      </c>
      <c r="I34" s="1100">
        <f>H34</f>
        <v>0.15</v>
      </c>
      <c r="J34" s="1100">
        <f>H34</f>
        <v>0.15</v>
      </c>
      <c r="K34" s="1100">
        <f>H34</f>
        <v>0.15</v>
      </c>
      <c r="L34" s="1101">
        <v>0.15</v>
      </c>
      <c r="M34" s="1102">
        <v>0.15</v>
      </c>
      <c r="N34" s="1121">
        <f>M34</f>
        <v>0.15</v>
      </c>
      <c r="O34" s="1121">
        <f>M34</f>
        <v>0.15</v>
      </c>
      <c r="P34" s="648">
        <v>0</v>
      </c>
      <c r="Q34" s="1103">
        <f>P34</f>
        <v>0</v>
      </c>
      <c r="R34" s="1100">
        <f>P34</f>
        <v>0</v>
      </c>
      <c r="V34" s="143"/>
    </row>
    <row r="35" spans="1:22" s="146" customFormat="1" ht="14" customHeight="1" x14ac:dyDescent="0.15">
      <c r="A35" s="181" t="s">
        <v>463</v>
      </c>
      <c r="B35" s="900">
        <f>B33*(1+B34)</f>
        <v>0</v>
      </c>
      <c r="C35" s="900">
        <f t="shared" ref="C35:R35" si="22">C33*(1+C34)</f>
        <v>0</v>
      </c>
      <c r="D35" s="900">
        <f t="shared" si="22"/>
        <v>0</v>
      </c>
      <c r="E35" s="900">
        <f t="shared" si="22"/>
        <v>0</v>
      </c>
      <c r="F35" s="900">
        <f t="shared" si="22"/>
        <v>0</v>
      </c>
      <c r="G35" s="900">
        <f t="shared" si="22"/>
        <v>0</v>
      </c>
      <c r="H35" s="900">
        <f t="shared" si="22"/>
        <v>0</v>
      </c>
      <c r="I35" s="900">
        <f t="shared" si="22"/>
        <v>0</v>
      </c>
      <c r="J35" s="900">
        <f t="shared" si="22"/>
        <v>0</v>
      </c>
      <c r="K35" s="900">
        <f t="shared" si="22"/>
        <v>0</v>
      </c>
      <c r="L35" s="900">
        <f t="shared" si="22"/>
        <v>0</v>
      </c>
      <c r="M35" s="900">
        <f t="shared" si="22"/>
        <v>0</v>
      </c>
      <c r="N35" s="900">
        <f t="shared" si="22"/>
        <v>0</v>
      </c>
      <c r="O35" s="900">
        <f t="shared" si="22"/>
        <v>0</v>
      </c>
      <c r="P35" s="900">
        <f t="shared" si="22"/>
        <v>0</v>
      </c>
      <c r="Q35" s="900">
        <f t="shared" si="22"/>
        <v>0</v>
      </c>
      <c r="R35" s="900">
        <f t="shared" si="22"/>
        <v>0</v>
      </c>
      <c r="V35" s="143"/>
    </row>
    <row r="36" spans="1:22" ht="14" customHeight="1" x14ac:dyDescent="0.15">
      <c r="B36" s="1122"/>
      <c r="C36" s="1122"/>
      <c r="D36" s="1122"/>
      <c r="E36" s="1122"/>
      <c r="F36" s="1122"/>
      <c r="G36" s="1122"/>
      <c r="H36" s="1122"/>
      <c r="I36" s="1122"/>
      <c r="J36" s="1122"/>
      <c r="K36" s="1123"/>
      <c r="L36" s="1123"/>
      <c r="M36" s="1123"/>
      <c r="N36" s="1123"/>
      <c r="O36" s="1123"/>
      <c r="P36" s="1123"/>
      <c r="Q36" s="1124"/>
      <c r="R36" s="1123"/>
    </row>
    <row r="37" spans="1:22" ht="14" customHeight="1" x14ac:dyDescent="0.15">
      <c r="A37" s="892" t="s">
        <v>564</v>
      </c>
      <c r="B37" s="1122"/>
      <c r="C37" s="1122"/>
      <c r="D37" s="1122"/>
      <c r="E37" s="1122"/>
      <c r="F37" s="1122"/>
      <c r="G37" s="1122"/>
      <c r="H37" s="1122"/>
      <c r="I37" s="1122"/>
      <c r="J37" s="1122"/>
      <c r="K37" s="1123"/>
      <c r="L37" s="1123"/>
      <c r="M37" s="1123"/>
      <c r="N37" s="1123"/>
      <c r="O37" s="1123"/>
      <c r="P37" s="1123"/>
      <c r="Q37" s="1124"/>
      <c r="R37" s="1123"/>
    </row>
    <row r="38" spans="1:22" s="143" customFormat="1" ht="14" customHeight="1" x14ac:dyDescent="0.15">
      <c r="A38" s="904" t="s">
        <v>563</v>
      </c>
      <c r="B38" s="1125"/>
      <c r="C38" s="1125"/>
      <c r="D38" s="1125"/>
      <c r="E38" s="1125"/>
      <c r="F38" s="1125"/>
      <c r="G38" s="1125"/>
      <c r="H38" s="1125"/>
      <c r="I38" s="1125"/>
      <c r="J38" s="1125"/>
      <c r="K38" s="1125"/>
      <c r="L38" s="1125"/>
      <c r="M38" s="1125"/>
      <c r="N38" s="1125"/>
      <c r="O38" s="1125"/>
      <c r="P38" s="1125"/>
      <c r="Q38" s="1125"/>
      <c r="R38" s="1125"/>
    </row>
    <row r="39" spans="1:22" s="895" customFormat="1" ht="14" customHeight="1" x14ac:dyDescent="0.15">
      <c r="A39" s="181" t="s">
        <v>620</v>
      </c>
      <c r="B39" s="1093">
        <f>B24</f>
        <v>0</v>
      </c>
      <c r="C39" s="1093">
        <f t="shared" ref="C39:R39" si="23">C24</f>
        <v>0</v>
      </c>
      <c r="D39" s="1093">
        <f t="shared" si="23"/>
        <v>0</v>
      </c>
      <c r="E39" s="1093">
        <f t="shared" si="23"/>
        <v>0</v>
      </c>
      <c r="F39" s="1093">
        <f t="shared" si="23"/>
        <v>0</v>
      </c>
      <c r="G39" s="1094">
        <f t="shared" si="23"/>
        <v>0</v>
      </c>
      <c r="H39" s="1093">
        <f t="shared" si="23"/>
        <v>0</v>
      </c>
      <c r="I39" s="1093">
        <f t="shared" si="23"/>
        <v>0</v>
      </c>
      <c r="J39" s="1093">
        <f t="shared" si="23"/>
        <v>0</v>
      </c>
      <c r="K39" s="1093">
        <f t="shared" si="23"/>
        <v>0</v>
      </c>
      <c r="L39" s="1094">
        <f t="shared" si="23"/>
        <v>0</v>
      </c>
      <c r="M39" s="1093">
        <f t="shared" si="23"/>
        <v>0</v>
      </c>
      <c r="N39" s="1093">
        <f t="shared" si="23"/>
        <v>0</v>
      </c>
      <c r="O39" s="1093">
        <f t="shared" si="23"/>
        <v>0</v>
      </c>
      <c r="P39" s="1095">
        <f t="shared" si="23"/>
        <v>0</v>
      </c>
      <c r="Q39" s="1095">
        <f t="shared" si="23"/>
        <v>0</v>
      </c>
      <c r="R39" s="1093">
        <f t="shared" si="23"/>
        <v>0</v>
      </c>
      <c r="T39" s="896"/>
      <c r="V39" s="894"/>
    </row>
    <row r="40" spans="1:22" s="143" customFormat="1" ht="14" customHeight="1" x14ac:dyDescent="0.15">
      <c r="A40" s="177" t="s">
        <v>661</v>
      </c>
      <c r="B40" s="1126">
        <v>0.25</v>
      </c>
      <c r="C40" s="1126">
        <v>0.25</v>
      </c>
      <c r="D40" s="1126">
        <v>0.25</v>
      </c>
      <c r="E40" s="1126">
        <v>0.25</v>
      </c>
      <c r="F40" s="1126">
        <v>0.25</v>
      </c>
      <c r="G40" s="1127">
        <v>0</v>
      </c>
      <c r="H40" s="1128">
        <v>0.25</v>
      </c>
      <c r="I40" s="1126">
        <v>0.25</v>
      </c>
      <c r="J40" s="1126">
        <v>0.25</v>
      </c>
      <c r="K40" s="1126">
        <v>0.25</v>
      </c>
      <c r="L40" s="1127">
        <v>0</v>
      </c>
      <c r="M40" s="1128">
        <v>0.25</v>
      </c>
      <c r="N40" s="1126">
        <v>0</v>
      </c>
      <c r="O40" s="1129">
        <v>0</v>
      </c>
      <c r="P40" s="1126">
        <v>0</v>
      </c>
      <c r="Q40" s="1128">
        <v>0</v>
      </c>
      <c r="R40" s="1126">
        <v>0</v>
      </c>
    </row>
    <row r="41" spans="1:22" s="144" customFormat="1" ht="14" customHeight="1" x14ac:dyDescent="0.15">
      <c r="A41" s="176" t="s">
        <v>569</v>
      </c>
      <c r="B41" s="1117">
        <f>B39*B40</f>
        <v>0</v>
      </c>
      <c r="C41" s="1117">
        <f t="shared" ref="C41:R41" si="24">C39*C40</f>
        <v>0</v>
      </c>
      <c r="D41" s="1117">
        <f t="shared" si="24"/>
        <v>0</v>
      </c>
      <c r="E41" s="1117">
        <f t="shared" si="24"/>
        <v>0</v>
      </c>
      <c r="F41" s="1117">
        <f t="shared" si="24"/>
        <v>0</v>
      </c>
      <c r="G41" s="1118">
        <f t="shared" si="24"/>
        <v>0</v>
      </c>
      <c r="H41" s="1117">
        <f t="shared" si="24"/>
        <v>0</v>
      </c>
      <c r="I41" s="1117">
        <f t="shared" si="24"/>
        <v>0</v>
      </c>
      <c r="J41" s="1117">
        <f t="shared" si="24"/>
        <v>0</v>
      </c>
      <c r="K41" s="1117">
        <f t="shared" si="24"/>
        <v>0</v>
      </c>
      <c r="L41" s="1118">
        <f t="shared" si="24"/>
        <v>0</v>
      </c>
      <c r="M41" s="1117">
        <f t="shared" si="24"/>
        <v>0</v>
      </c>
      <c r="N41" s="1117">
        <f t="shared" si="24"/>
        <v>0</v>
      </c>
      <c r="O41" s="1117">
        <f t="shared" si="24"/>
        <v>0</v>
      </c>
      <c r="P41" s="1119">
        <f t="shared" si="24"/>
        <v>0</v>
      </c>
      <c r="Q41" s="1119">
        <f t="shared" si="24"/>
        <v>0</v>
      </c>
      <c r="R41" s="1117">
        <f t="shared" si="24"/>
        <v>0</v>
      </c>
      <c r="T41" s="499"/>
      <c r="V41" s="143"/>
    </row>
    <row r="42" spans="1:22" s="144" customFormat="1" ht="14" customHeight="1" x14ac:dyDescent="0.15">
      <c r="A42" s="176" t="s">
        <v>568</v>
      </c>
      <c r="B42" s="1117">
        <f>B39-B41</f>
        <v>0</v>
      </c>
      <c r="C42" s="1117">
        <f t="shared" ref="C42:R42" si="25">C39-C41</f>
        <v>0</v>
      </c>
      <c r="D42" s="1117">
        <f t="shared" si="25"/>
        <v>0</v>
      </c>
      <c r="E42" s="1117">
        <f t="shared" si="25"/>
        <v>0</v>
      </c>
      <c r="F42" s="1117">
        <f t="shared" si="25"/>
        <v>0</v>
      </c>
      <c r="G42" s="1118">
        <f t="shared" si="25"/>
        <v>0</v>
      </c>
      <c r="H42" s="1117">
        <f t="shared" si="25"/>
        <v>0</v>
      </c>
      <c r="I42" s="1117">
        <f t="shared" si="25"/>
        <v>0</v>
      </c>
      <c r="J42" s="1117">
        <f t="shared" si="25"/>
        <v>0</v>
      </c>
      <c r="K42" s="1117">
        <f t="shared" si="25"/>
        <v>0</v>
      </c>
      <c r="L42" s="1118">
        <f t="shared" si="25"/>
        <v>0</v>
      </c>
      <c r="M42" s="1117">
        <f t="shared" si="25"/>
        <v>0</v>
      </c>
      <c r="N42" s="1117">
        <f t="shared" si="25"/>
        <v>0</v>
      </c>
      <c r="O42" s="1117">
        <f t="shared" si="25"/>
        <v>0</v>
      </c>
      <c r="P42" s="1119">
        <f t="shared" si="25"/>
        <v>0</v>
      </c>
      <c r="Q42" s="1119">
        <f t="shared" si="25"/>
        <v>0</v>
      </c>
      <c r="R42" s="1117">
        <f t="shared" si="25"/>
        <v>0</v>
      </c>
      <c r="T42" s="499"/>
      <c r="V42" s="143"/>
    </row>
    <row r="43" spans="1:22" s="143" customFormat="1" ht="14" customHeight="1" x14ac:dyDescent="0.15">
      <c r="A43" s="177" t="s">
        <v>566</v>
      </c>
      <c r="B43" s="1126">
        <v>1</v>
      </c>
      <c r="C43" s="1126">
        <v>0.5</v>
      </c>
      <c r="D43" s="1126">
        <v>0.3</v>
      </c>
      <c r="E43" s="1126">
        <v>0.2</v>
      </c>
      <c r="F43" s="1126">
        <f>E43</f>
        <v>0.2</v>
      </c>
      <c r="G43" s="1127">
        <v>0</v>
      </c>
      <c r="H43" s="1128">
        <v>0.25</v>
      </c>
      <c r="I43" s="1126">
        <v>0.25</v>
      </c>
      <c r="J43" s="1126">
        <v>0.25</v>
      </c>
      <c r="K43" s="1126">
        <v>0.25</v>
      </c>
      <c r="L43" s="1127">
        <v>0</v>
      </c>
      <c r="M43" s="1128">
        <v>0.25</v>
      </c>
      <c r="N43" s="1126">
        <v>0</v>
      </c>
      <c r="O43" s="1129">
        <v>0</v>
      </c>
      <c r="P43" s="1126">
        <v>0</v>
      </c>
      <c r="Q43" s="1128">
        <v>0</v>
      </c>
      <c r="R43" s="1126">
        <v>0</v>
      </c>
    </row>
    <row r="44" spans="1:22" s="144" customFormat="1" ht="14" customHeight="1" x14ac:dyDescent="0.15">
      <c r="A44" s="176" t="s">
        <v>567</v>
      </c>
      <c r="B44" s="1117">
        <f>B42*B43</f>
        <v>0</v>
      </c>
      <c r="C44" s="1117">
        <f t="shared" ref="C44:R44" si="26">C42*C43</f>
        <v>0</v>
      </c>
      <c r="D44" s="1117">
        <f t="shared" si="26"/>
        <v>0</v>
      </c>
      <c r="E44" s="1117">
        <f t="shared" si="26"/>
        <v>0</v>
      </c>
      <c r="F44" s="1117">
        <f t="shared" si="26"/>
        <v>0</v>
      </c>
      <c r="G44" s="1118">
        <f t="shared" si="26"/>
        <v>0</v>
      </c>
      <c r="H44" s="1117">
        <f t="shared" si="26"/>
        <v>0</v>
      </c>
      <c r="I44" s="1117">
        <f t="shared" si="26"/>
        <v>0</v>
      </c>
      <c r="J44" s="1117">
        <f t="shared" si="26"/>
        <v>0</v>
      </c>
      <c r="K44" s="1117">
        <f t="shared" si="26"/>
        <v>0</v>
      </c>
      <c r="L44" s="1118">
        <f t="shared" si="26"/>
        <v>0</v>
      </c>
      <c r="M44" s="1117">
        <f t="shared" si="26"/>
        <v>0</v>
      </c>
      <c r="N44" s="1117">
        <f t="shared" si="26"/>
        <v>0</v>
      </c>
      <c r="O44" s="1117">
        <f t="shared" si="26"/>
        <v>0</v>
      </c>
      <c r="P44" s="1119">
        <f t="shared" si="26"/>
        <v>0</v>
      </c>
      <c r="Q44" s="1119">
        <f t="shared" si="26"/>
        <v>0</v>
      </c>
      <c r="R44" s="1117">
        <f t="shared" si="26"/>
        <v>0</v>
      </c>
      <c r="T44" s="499"/>
      <c r="V44" s="143"/>
    </row>
    <row r="45" spans="1:22" s="143" customFormat="1" ht="14" customHeight="1" x14ac:dyDescent="0.15">
      <c r="A45" s="177" t="s">
        <v>437</v>
      </c>
      <c r="B45" s="1130">
        <v>1500</v>
      </c>
      <c r="C45" s="1130">
        <v>1200</v>
      </c>
      <c r="D45" s="1130">
        <v>1000</v>
      </c>
      <c r="E45" s="1130">
        <v>900</v>
      </c>
      <c r="F45" s="1130">
        <f>E45</f>
        <v>900</v>
      </c>
      <c r="G45" s="1131">
        <v>700</v>
      </c>
      <c r="H45" s="1132">
        <v>1000</v>
      </c>
      <c r="I45" s="1130">
        <v>800</v>
      </c>
      <c r="J45" s="1130">
        <v>700</v>
      </c>
      <c r="K45" s="1130">
        <v>700</v>
      </c>
      <c r="L45" s="1131">
        <v>600</v>
      </c>
      <c r="M45" s="1132">
        <v>700</v>
      </c>
      <c r="N45" s="1130">
        <v>600</v>
      </c>
      <c r="O45" s="1133">
        <v>600</v>
      </c>
      <c r="P45" s="1130">
        <v>450</v>
      </c>
      <c r="Q45" s="1132">
        <v>450</v>
      </c>
      <c r="R45" s="1130">
        <v>400</v>
      </c>
    </row>
    <row r="46" spans="1:22" s="894" customFormat="1" ht="14" customHeight="1" x14ac:dyDescent="0.15">
      <c r="A46" s="181" t="s">
        <v>571</v>
      </c>
      <c r="B46" s="1134">
        <f t="shared" ref="B46:R46" si="27">B45*B44</f>
        <v>0</v>
      </c>
      <c r="C46" s="1134">
        <f t="shared" si="27"/>
        <v>0</v>
      </c>
      <c r="D46" s="1134">
        <f t="shared" si="27"/>
        <v>0</v>
      </c>
      <c r="E46" s="1134">
        <f t="shared" si="27"/>
        <v>0</v>
      </c>
      <c r="F46" s="1134">
        <f t="shared" si="27"/>
        <v>0</v>
      </c>
      <c r="G46" s="1104">
        <f t="shared" si="27"/>
        <v>0</v>
      </c>
      <c r="H46" s="900">
        <f t="shared" si="27"/>
        <v>0</v>
      </c>
      <c r="I46" s="1134">
        <f t="shared" si="27"/>
        <v>0</v>
      </c>
      <c r="J46" s="1134">
        <f t="shared" si="27"/>
        <v>0</v>
      </c>
      <c r="K46" s="1134">
        <f t="shared" si="27"/>
        <v>0</v>
      </c>
      <c r="L46" s="1104">
        <f t="shared" si="27"/>
        <v>0</v>
      </c>
      <c r="M46" s="900">
        <f t="shared" si="27"/>
        <v>0</v>
      </c>
      <c r="N46" s="1134">
        <f t="shared" si="27"/>
        <v>0</v>
      </c>
      <c r="O46" s="900">
        <f t="shared" si="27"/>
        <v>0</v>
      </c>
      <c r="P46" s="901">
        <f t="shared" si="27"/>
        <v>0</v>
      </c>
      <c r="Q46" s="900">
        <f t="shared" si="27"/>
        <v>0</v>
      </c>
      <c r="R46" s="900">
        <f t="shared" si="27"/>
        <v>0</v>
      </c>
    </row>
    <row r="47" spans="1:22" s="143" customFormat="1" ht="14" customHeight="1" x14ac:dyDescent="0.15">
      <c r="A47" s="177"/>
      <c r="B47" s="385"/>
      <c r="C47" s="385"/>
      <c r="D47" s="385"/>
      <c r="E47" s="385"/>
      <c r="F47" s="385"/>
      <c r="G47" s="1082"/>
      <c r="H47" s="385"/>
      <c r="I47" s="385"/>
      <c r="J47" s="385"/>
      <c r="K47" s="385"/>
      <c r="L47" s="1082"/>
      <c r="M47" s="385"/>
      <c r="N47" s="385"/>
      <c r="O47" s="385"/>
      <c r="P47" s="680"/>
      <c r="Q47" s="385"/>
      <c r="R47" s="385"/>
    </row>
    <row r="48" spans="1:22" s="143" customFormat="1" ht="14" customHeight="1" x14ac:dyDescent="0.15">
      <c r="A48" s="178" t="s">
        <v>285</v>
      </c>
      <c r="B48" s="900">
        <f>IF(B39=0,0,B35-B46)</f>
        <v>0</v>
      </c>
      <c r="C48" s="900">
        <f t="shared" ref="C48:R48" si="28">IF(C39=0,0,C35-C46)</f>
        <v>0</v>
      </c>
      <c r="D48" s="900">
        <f t="shared" si="28"/>
        <v>0</v>
      </c>
      <c r="E48" s="900">
        <f t="shared" si="28"/>
        <v>0</v>
      </c>
      <c r="F48" s="900">
        <f t="shared" si="28"/>
        <v>0</v>
      </c>
      <c r="G48" s="1104">
        <f t="shared" si="28"/>
        <v>0</v>
      </c>
      <c r="H48" s="900">
        <f t="shared" si="28"/>
        <v>0</v>
      </c>
      <c r="I48" s="900">
        <f t="shared" si="28"/>
        <v>0</v>
      </c>
      <c r="J48" s="900">
        <f t="shared" si="28"/>
        <v>0</v>
      </c>
      <c r="K48" s="900">
        <f t="shared" si="28"/>
        <v>0</v>
      </c>
      <c r="L48" s="1104">
        <f t="shared" si="28"/>
        <v>0</v>
      </c>
      <c r="M48" s="900">
        <f t="shared" si="28"/>
        <v>0</v>
      </c>
      <c r="N48" s="900">
        <f t="shared" si="28"/>
        <v>0</v>
      </c>
      <c r="O48" s="900">
        <f t="shared" si="28"/>
        <v>0</v>
      </c>
      <c r="P48" s="901">
        <f t="shared" si="28"/>
        <v>0</v>
      </c>
      <c r="Q48" s="900">
        <f t="shared" si="28"/>
        <v>0</v>
      </c>
      <c r="R48" s="900">
        <f t="shared" si="28"/>
        <v>0</v>
      </c>
    </row>
    <row r="49" spans="1:22" s="144" customFormat="1" ht="14" customHeight="1" x14ac:dyDescent="0.15">
      <c r="A49" s="897" t="s">
        <v>171</v>
      </c>
      <c r="B49" s="1090">
        <f>B42-B44</f>
        <v>0</v>
      </c>
      <c r="C49" s="1090">
        <f t="shared" ref="C49:R49" si="29">C42-C44</f>
        <v>0</v>
      </c>
      <c r="D49" s="1090">
        <f t="shared" si="29"/>
        <v>0</v>
      </c>
      <c r="E49" s="1090">
        <f t="shared" si="29"/>
        <v>0</v>
      </c>
      <c r="F49" s="1090">
        <f t="shared" si="29"/>
        <v>0</v>
      </c>
      <c r="G49" s="1091">
        <f t="shared" si="29"/>
        <v>0</v>
      </c>
      <c r="H49" s="1090">
        <f t="shared" si="29"/>
        <v>0</v>
      </c>
      <c r="I49" s="1090">
        <f t="shared" si="29"/>
        <v>0</v>
      </c>
      <c r="J49" s="1090">
        <f t="shared" si="29"/>
        <v>0</v>
      </c>
      <c r="K49" s="1090">
        <f t="shared" si="29"/>
        <v>0</v>
      </c>
      <c r="L49" s="1091">
        <f t="shared" si="29"/>
        <v>0</v>
      </c>
      <c r="M49" s="1090">
        <f t="shared" si="29"/>
        <v>0</v>
      </c>
      <c r="N49" s="1090">
        <f t="shared" si="29"/>
        <v>0</v>
      </c>
      <c r="O49" s="1090">
        <f t="shared" si="29"/>
        <v>0</v>
      </c>
      <c r="P49" s="1135">
        <f t="shared" si="29"/>
        <v>0</v>
      </c>
      <c r="Q49" s="1135">
        <f t="shared" si="29"/>
        <v>0</v>
      </c>
      <c r="R49" s="1090">
        <f t="shared" si="29"/>
        <v>0</v>
      </c>
      <c r="T49" s="499"/>
      <c r="V49" s="143"/>
    </row>
    <row r="50" spans="1:22" s="143" customFormat="1" ht="14" customHeight="1" x14ac:dyDescent="0.15">
      <c r="A50" s="178" t="s">
        <v>570</v>
      </c>
      <c r="B50" s="900">
        <f>IF(B49=0,0,B48/B49)</f>
        <v>0</v>
      </c>
      <c r="C50" s="900">
        <f t="shared" ref="C50" si="30">IF(C49=0,0,C48/C49)</f>
        <v>0</v>
      </c>
      <c r="D50" s="900">
        <f t="shared" ref="D50" si="31">IF(D49=0,0,D48/D49)</f>
        <v>0</v>
      </c>
      <c r="E50" s="900">
        <f t="shared" ref="E50" si="32">IF(E49=0,0,E48/E49)</f>
        <v>0</v>
      </c>
      <c r="F50" s="900">
        <f t="shared" ref="F50" si="33">IF(F49=0,0,F48/F49)</f>
        <v>0</v>
      </c>
      <c r="G50" s="1104">
        <f t="shared" ref="G50" si="34">IF(G49=0,0,G48/G49)</f>
        <v>0</v>
      </c>
      <c r="H50" s="900">
        <f t="shared" ref="H50" si="35">IF(H49=0,0,H48/H49)</f>
        <v>0</v>
      </c>
      <c r="I50" s="900">
        <f>IF(I49=0,0,I48/I49)</f>
        <v>0</v>
      </c>
      <c r="J50" s="900">
        <f t="shared" ref="J50:R50" si="36">IF(J49=0,0,J48/J49)</f>
        <v>0</v>
      </c>
      <c r="K50" s="900">
        <f t="shared" si="36"/>
        <v>0</v>
      </c>
      <c r="L50" s="1104">
        <f t="shared" si="36"/>
        <v>0</v>
      </c>
      <c r="M50" s="900">
        <f t="shared" si="36"/>
        <v>0</v>
      </c>
      <c r="N50" s="900">
        <f t="shared" si="36"/>
        <v>0</v>
      </c>
      <c r="O50" s="900">
        <f t="shared" si="36"/>
        <v>0</v>
      </c>
      <c r="P50" s="901">
        <f t="shared" si="36"/>
        <v>0</v>
      </c>
      <c r="Q50" s="900">
        <f t="shared" si="36"/>
        <v>0</v>
      </c>
      <c r="R50" s="900">
        <f t="shared" si="36"/>
        <v>0</v>
      </c>
    </row>
    <row r="52" spans="1:22" ht="14" customHeight="1" x14ac:dyDescent="0.15">
      <c r="A52" s="64" t="s">
        <v>48</v>
      </c>
    </row>
    <row r="53" spans="1:22" ht="14" customHeight="1" x14ac:dyDescent="0.15">
      <c r="A53" s="53" t="s">
        <v>45</v>
      </c>
    </row>
  </sheetData>
  <sheetProtection selectLockedCells="1"/>
  <pageMargins left="0.7" right="0.7" top="0.75" bottom="0.75" header="0.3" footer="0.3"/>
  <pageSetup paperSize="9" scale="82" fitToHeight="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6E724-7CC7-BD43-B8A1-4E7C539F5EDE}">
  <sheetPr>
    <tabColor theme="6" tint="-0.249977111117893"/>
    <pageSetUpPr fitToPage="1"/>
  </sheetPr>
  <dimension ref="A1:V25"/>
  <sheetViews>
    <sheetView zoomScale="200" zoomScaleNormal="200" workbookViewId="0">
      <pane xSplit="1" ySplit="2" topLeftCell="M3" activePane="bottomRight" state="frozen"/>
      <selection activeCell="B43" sqref="B43"/>
      <selection pane="topRight" activeCell="B43" sqref="B43"/>
      <selection pane="bottomLeft" activeCell="B43" sqref="B43"/>
      <selection pane="bottomRight" activeCell="B43" sqref="B43"/>
    </sheetView>
  </sheetViews>
  <sheetFormatPr baseColWidth="10" defaultColWidth="10.6640625" defaultRowHeight="14" customHeight="1" x14ac:dyDescent="0.15"/>
  <cols>
    <col min="1" max="1" width="68.5" style="106" customWidth="1"/>
    <col min="2" max="10" width="14.6640625" style="643" customWidth="1"/>
    <col min="11" max="16" width="14.6640625" style="642" customWidth="1"/>
    <col min="17" max="17" width="14.6640625" style="644" customWidth="1"/>
    <col min="18" max="18" width="14.6640625" style="642" customWidth="1"/>
    <col min="19" max="19" width="2.5" style="642" customWidth="1"/>
    <col min="20" max="20" width="16.6640625" style="642" customWidth="1"/>
    <col min="21" max="16384" width="10.6640625" style="642"/>
  </cols>
  <sheetData>
    <row r="1" spans="1:22" s="107" customFormat="1" ht="14" customHeight="1" x14ac:dyDescent="0.15">
      <c r="A1" s="401" t="s">
        <v>622</v>
      </c>
      <c r="B1" s="106"/>
      <c r="C1" s="106"/>
      <c r="D1" s="106"/>
      <c r="E1" s="106"/>
      <c r="F1" s="106"/>
      <c r="G1" s="106"/>
      <c r="H1" s="106"/>
      <c r="I1" s="106"/>
      <c r="J1" s="106"/>
    </row>
    <row r="2" spans="1:22" s="696" customFormat="1" ht="28" customHeight="1" thickBot="1" x14ac:dyDescent="0.2">
      <c r="A2" s="471" t="s">
        <v>379</v>
      </c>
      <c r="B2" s="403" t="s">
        <v>143</v>
      </c>
      <c r="C2" s="404" t="s">
        <v>144</v>
      </c>
      <c r="D2" s="405" t="s">
        <v>145</v>
      </c>
      <c r="E2" s="935" t="s">
        <v>146</v>
      </c>
      <c r="F2" s="935" t="s">
        <v>628</v>
      </c>
      <c r="G2" s="470" t="s">
        <v>630</v>
      </c>
      <c r="H2" s="406" t="s">
        <v>147</v>
      </c>
      <c r="I2" s="407" t="s">
        <v>148</v>
      </c>
      <c r="J2" s="408" t="s">
        <v>16</v>
      </c>
      <c r="K2" s="408" t="s">
        <v>627</v>
      </c>
      <c r="L2" s="470" t="s">
        <v>631</v>
      </c>
      <c r="M2" s="409" t="s">
        <v>625</v>
      </c>
      <c r="N2" s="410" t="s">
        <v>475</v>
      </c>
      <c r="O2" s="410" t="s">
        <v>626</v>
      </c>
      <c r="P2" s="508" t="s">
        <v>629</v>
      </c>
      <c r="Q2" s="411" t="s">
        <v>623</v>
      </c>
      <c r="R2" s="1411" t="s">
        <v>624</v>
      </c>
    </row>
    <row r="3" spans="1:22" s="1306" customFormat="1" ht="14" customHeight="1" x14ac:dyDescent="0.15">
      <c r="A3" s="1300" t="str">
        <f>'4buildings'!A20</f>
        <v>Starter type</v>
      </c>
      <c r="B3" s="1301" t="str">
        <f>'4buildings'!B20</f>
        <v>lot only</v>
      </c>
      <c r="C3" s="1301" t="str">
        <f>'4buildings'!C20</f>
        <v>lot only</v>
      </c>
      <c r="D3" s="1301" t="str">
        <f>'4buildings'!D20</f>
        <v>lot only</v>
      </c>
      <c r="E3" s="1301" t="str">
        <f>'4buildings'!E20</f>
        <v>mixed-use building</v>
      </c>
      <c r="F3" s="1301" t="str">
        <f>'4buildings'!F20</f>
        <v>mixed-use building</v>
      </c>
      <c r="G3" s="1302" t="str">
        <f>'4buildings'!G20</f>
        <v>lot only</v>
      </c>
      <c r="H3" s="1301" t="str">
        <f>'4buildings'!H20</f>
        <v>lot only</v>
      </c>
      <c r="I3" s="1301" t="str">
        <f>'4buildings'!I20</f>
        <v>lot only</v>
      </c>
      <c r="J3" s="1301" t="str">
        <f>'4buildings'!J20</f>
        <v>mixed-use building</v>
      </c>
      <c r="K3" s="1301" t="str">
        <f>'4buildings'!K20</f>
        <v>mixed-use building</v>
      </c>
      <c r="L3" s="1303" t="str">
        <f>'4buildings'!L20</f>
        <v>lot only</v>
      </c>
      <c r="M3" s="1304" t="str">
        <f>'4buildings'!M20</f>
        <v>apartments</v>
      </c>
      <c r="N3" s="1304" t="str">
        <f>'4buildings'!N20</f>
        <v>shell</v>
      </c>
      <c r="O3" s="1304" t="str">
        <f>'4buildings'!O20</f>
        <v>shell</v>
      </c>
      <c r="P3" s="1305" t="str">
        <f>'4buildings'!P20</f>
        <v>core</v>
      </c>
      <c r="Q3" s="1305" t="str">
        <f>'4buildings'!Q20</f>
        <v>core</v>
      </c>
      <c r="R3" s="1304" t="str">
        <f>'4buildings'!R20</f>
        <v>roof</v>
      </c>
    </row>
    <row r="4" spans="1:22" s="625" customFormat="1" ht="140" customHeight="1" x14ac:dyDescent="0.15">
      <c r="A4" s="698" t="str">
        <f>'4buildings'!A21</f>
        <v>Starter description</v>
      </c>
      <c r="B4" s="1168">
        <f>'4buildings'!B21</f>
        <v>0</v>
      </c>
      <c r="C4" s="1168">
        <f>'4buildings'!C21</f>
        <v>0</v>
      </c>
      <c r="D4" s="1168">
        <f>'4buildings'!D21</f>
        <v>0</v>
      </c>
      <c r="E4" s="1168">
        <f>'4buildings'!E21</f>
        <v>0</v>
      </c>
      <c r="F4" s="1168">
        <f>'4buildings'!F21</f>
        <v>0</v>
      </c>
      <c r="G4" s="1172">
        <f>'4buildings'!G21</f>
        <v>0</v>
      </c>
      <c r="H4" s="1168">
        <f>'4buildings'!H21</f>
        <v>0</v>
      </c>
      <c r="I4" s="1168">
        <f>'4buildings'!I21</f>
        <v>0</v>
      </c>
      <c r="J4" s="1168">
        <f>'4buildings'!J21</f>
        <v>0</v>
      </c>
      <c r="K4" s="1168">
        <f>'4buildings'!K21</f>
        <v>0</v>
      </c>
      <c r="L4" s="1169">
        <f>'4buildings'!L21</f>
        <v>0</v>
      </c>
      <c r="M4" s="1170" t="str">
        <f>'4buildings'!M21</f>
        <v>4-story aparment building with ground floor commercial and 4 units on each of the 3 upper floors</v>
      </c>
      <c r="N4" s="1170" t="str">
        <f>'4buildings'!N21</f>
        <v>2-story shell (loft) without interior walls and slabs: open space for user-driven infill, foundation for up to 3 floors</v>
      </c>
      <c r="O4" s="1170" t="str">
        <f>'4buildings'!O21</f>
        <v>same, as left</v>
      </c>
      <c r="P4" s="1171" t="str">
        <f>'4buildings'!P21</f>
        <v>1-story core home,  basic 1 room initially, incl. utility/wet core, for horizontal and vertical expansion (in back yard and up to 3 floors)</v>
      </c>
      <c r="Q4" s="1171" t="str">
        <f>'4buildings'!Q21</f>
        <v>1-story core home,  2.5 rooms initially, incl. utility/wet core, for horizontal and vertical expansion (in back yard and up to 3 floors)</v>
      </c>
      <c r="R4" s="1170" t="str">
        <f>'4buildings'!R21</f>
        <v>starter roof: 
only foundation, frame, roof slab, utility/wet core; for 1 "room", initially. Can be expanded as much the core. Difference: no walls, windows, etc – which are all done by the user…</v>
      </c>
    </row>
    <row r="5" spans="1:22" s="144" customFormat="1" ht="14" customHeight="1" x14ac:dyDescent="0.15">
      <c r="A5" s="176" t="s">
        <v>554</v>
      </c>
      <c r="B5" s="1117">
        <f>'4buildings'!B12</f>
        <v>0</v>
      </c>
      <c r="C5" s="1117">
        <f>'4buildings'!C12</f>
        <v>0</v>
      </c>
      <c r="D5" s="1117">
        <f>'4buildings'!D12</f>
        <v>0</v>
      </c>
      <c r="E5" s="1117">
        <f>'4buildings'!E12</f>
        <v>0</v>
      </c>
      <c r="F5" s="1117">
        <f>'4buildings'!F12</f>
        <v>0</v>
      </c>
      <c r="G5" s="1118">
        <f>'4buildings'!G12</f>
        <v>0</v>
      </c>
      <c r="H5" s="1117">
        <f>'4buildings'!H12</f>
        <v>0</v>
      </c>
      <c r="I5" s="1117">
        <f>'4buildings'!I12</f>
        <v>0</v>
      </c>
      <c r="J5" s="1117">
        <f>'4buildings'!J12</f>
        <v>0</v>
      </c>
      <c r="K5" s="1117">
        <f>'4buildings'!K12</f>
        <v>0</v>
      </c>
      <c r="L5" s="1118">
        <f>'4buildings'!L12</f>
        <v>0</v>
      </c>
      <c r="M5" s="1117">
        <f>'4buildings'!M12</f>
        <v>0</v>
      </c>
      <c r="N5" s="1117">
        <f>'4buildings'!N12</f>
        <v>0</v>
      </c>
      <c r="O5" s="1117">
        <f>'4buildings'!O12</f>
        <v>0</v>
      </c>
      <c r="P5" s="1119">
        <f>'4buildings'!P12</f>
        <v>0</v>
      </c>
      <c r="Q5" s="1119">
        <f>'4buildings'!Q12</f>
        <v>0</v>
      </c>
      <c r="R5" s="1117">
        <f>'4buildings'!R12</f>
        <v>0</v>
      </c>
      <c r="T5" s="499"/>
      <c r="V5" s="143"/>
    </row>
    <row r="6" spans="1:22" s="144" customFormat="1" ht="14" customHeight="1" x14ac:dyDescent="0.15">
      <c r="A6" s="176" t="str">
        <f>'4buildings'!A20</f>
        <v>Starter type</v>
      </c>
      <c r="B6" s="1142" t="str">
        <f>'4buildings'!B20</f>
        <v>lot only</v>
      </c>
      <c r="C6" s="1143" t="str">
        <f>'4buildings'!C20</f>
        <v>lot only</v>
      </c>
      <c r="D6" s="1143" t="str">
        <f>'4buildings'!D20</f>
        <v>lot only</v>
      </c>
      <c r="E6" s="1143" t="str">
        <f>'4buildings'!E20</f>
        <v>mixed-use building</v>
      </c>
      <c r="F6" s="1144" t="str">
        <f>'4buildings'!F20</f>
        <v>mixed-use building</v>
      </c>
      <c r="G6" s="1145" t="str">
        <f>'4buildings'!G20</f>
        <v>lot only</v>
      </c>
      <c r="H6" s="1142" t="str">
        <f>'4buildings'!H20</f>
        <v>lot only</v>
      </c>
      <c r="I6" s="1143" t="str">
        <f>'4buildings'!I20</f>
        <v>lot only</v>
      </c>
      <c r="J6" s="1143" t="str">
        <f>'4buildings'!J20</f>
        <v>mixed-use building</v>
      </c>
      <c r="K6" s="1144" t="str">
        <f>'4buildings'!K20</f>
        <v>mixed-use building</v>
      </c>
      <c r="L6" s="1145" t="str">
        <f>'4buildings'!L20</f>
        <v>lot only</v>
      </c>
      <c r="M6" s="1146" t="str">
        <f>'4buildings'!M20</f>
        <v>apartments</v>
      </c>
      <c r="N6" s="1147" t="str">
        <f>'4buildings'!N20</f>
        <v>shell</v>
      </c>
      <c r="O6" s="1147" t="str">
        <f>'4buildings'!O20</f>
        <v>shell</v>
      </c>
      <c r="P6" s="1144" t="str">
        <f>'4buildings'!P20</f>
        <v>core</v>
      </c>
      <c r="Q6" s="1144" t="str">
        <f>'4buildings'!Q20</f>
        <v>core</v>
      </c>
      <c r="R6" s="1147" t="str">
        <f>'4buildings'!R20</f>
        <v>roof</v>
      </c>
      <c r="S6" s="147"/>
      <c r="V6" s="143"/>
    </row>
    <row r="7" spans="1:22" s="144" customFormat="1" ht="14" customHeight="1" x14ac:dyDescent="0.15">
      <c r="A7" s="897" t="str">
        <f>'4buildings'!A22</f>
        <v>Idealized starter building floor area, if any (a)</v>
      </c>
      <c r="B7" s="1090">
        <f>'4buildings'!B24</f>
        <v>0</v>
      </c>
      <c r="C7" s="1090">
        <f>'4buildings'!C24</f>
        <v>0</v>
      </c>
      <c r="D7" s="1090">
        <f>'4buildings'!D24</f>
        <v>0</v>
      </c>
      <c r="E7" s="1090">
        <f>'4buildings'!E24</f>
        <v>0</v>
      </c>
      <c r="F7" s="1090">
        <f>'4buildings'!F24</f>
        <v>0</v>
      </c>
      <c r="G7" s="1091">
        <f>'4buildings'!G24</f>
        <v>0</v>
      </c>
      <c r="H7" s="1090">
        <f>'4buildings'!H24</f>
        <v>0</v>
      </c>
      <c r="I7" s="1090">
        <f>'4buildings'!I24</f>
        <v>0</v>
      </c>
      <c r="J7" s="1090">
        <f>'4buildings'!J24</f>
        <v>0</v>
      </c>
      <c r="K7" s="1090">
        <f>'4buildings'!K24</f>
        <v>0</v>
      </c>
      <c r="L7" s="1091">
        <f>'4buildings'!L24</f>
        <v>0</v>
      </c>
      <c r="M7" s="1090">
        <f>'4buildings'!M24</f>
        <v>0</v>
      </c>
      <c r="N7" s="1090">
        <f>'4buildings'!N24</f>
        <v>0</v>
      </c>
      <c r="O7" s="1090">
        <f>'4buildings'!O24</f>
        <v>0</v>
      </c>
      <c r="P7" s="1135">
        <f>'4buildings'!P24</f>
        <v>0</v>
      </c>
      <c r="Q7" s="1135">
        <f>'4buildings'!Q24</f>
        <v>0</v>
      </c>
      <c r="R7" s="1090">
        <f>'4buildings'!R24</f>
        <v>0</v>
      </c>
      <c r="T7" s="499"/>
      <c r="V7" s="143"/>
    </row>
    <row r="8" spans="1:22" s="143" customFormat="1" ht="14" customHeight="1" x14ac:dyDescent="0.15">
      <c r="A8" s="898" t="s">
        <v>572</v>
      </c>
      <c r="B8" s="1093">
        <f>'4buildings'!B49</f>
        <v>0</v>
      </c>
      <c r="C8" s="1093">
        <f>'4buildings'!C49</f>
        <v>0</v>
      </c>
      <c r="D8" s="1093">
        <f>'4buildings'!D49</f>
        <v>0</v>
      </c>
      <c r="E8" s="1093">
        <f>'4buildings'!E49</f>
        <v>0</v>
      </c>
      <c r="F8" s="1093">
        <f>'4buildings'!F49</f>
        <v>0</v>
      </c>
      <c r="G8" s="1094">
        <f>'4buildings'!G49</f>
        <v>0</v>
      </c>
      <c r="H8" s="1093">
        <f>'4buildings'!H49</f>
        <v>0</v>
      </c>
      <c r="I8" s="1093">
        <f>'4buildings'!I49</f>
        <v>0</v>
      </c>
      <c r="J8" s="1093">
        <f>'4buildings'!J49</f>
        <v>0</v>
      </c>
      <c r="K8" s="1093">
        <f>'4buildings'!K49</f>
        <v>0</v>
      </c>
      <c r="L8" s="1094">
        <f>'4buildings'!L49</f>
        <v>0</v>
      </c>
      <c r="M8" s="1093">
        <f>'4buildings'!M49</f>
        <v>0</v>
      </c>
      <c r="N8" s="1093">
        <f>'4buildings'!N49</f>
        <v>0</v>
      </c>
      <c r="O8" s="1093">
        <f>'4buildings'!O49</f>
        <v>0</v>
      </c>
      <c r="P8" s="1094">
        <f>'4buildings'!P49</f>
        <v>0</v>
      </c>
      <c r="Q8" s="1093">
        <f>'4buildings'!Q49</f>
        <v>0</v>
      </c>
      <c r="R8" s="1093">
        <f>'4buildings'!R49</f>
        <v>0</v>
      </c>
    </row>
    <row r="9" spans="1:22" s="143" customFormat="1" ht="14" customHeight="1" x14ac:dyDescent="0.15">
      <c r="A9" s="699"/>
      <c r="B9" s="1125"/>
      <c r="C9" s="1125"/>
      <c r="D9" s="1125"/>
      <c r="E9" s="1125"/>
      <c r="F9" s="1125"/>
      <c r="G9" s="1125"/>
      <c r="H9" s="1125"/>
      <c r="I9" s="1125"/>
      <c r="J9" s="1125"/>
      <c r="K9" s="1125"/>
      <c r="L9" s="1125"/>
      <c r="M9" s="1125"/>
      <c r="N9" s="1125"/>
      <c r="O9" s="1125"/>
      <c r="P9" s="1125"/>
      <c r="Q9" s="1125"/>
      <c r="R9" s="1125"/>
    </row>
    <row r="10" spans="1:22" s="146" customFormat="1" ht="14" customHeight="1" x14ac:dyDescent="0.15">
      <c r="A10" s="177" t="s">
        <v>583</v>
      </c>
      <c r="B10" s="899">
        <f>ROUND(B7/50,0)</f>
        <v>0</v>
      </c>
      <c r="C10" s="899">
        <f>ROUND(C7/50,0)</f>
        <v>0</v>
      </c>
      <c r="D10" s="899">
        <f>ROUND(D7/50,0)</f>
        <v>0</v>
      </c>
      <c r="E10" s="899">
        <f>ROUND(E7/50,0)</f>
        <v>0</v>
      </c>
      <c r="F10" s="1156">
        <f>E10</f>
        <v>0</v>
      </c>
      <c r="G10" s="1157">
        <v>0</v>
      </c>
      <c r="H10" s="899">
        <f>ROUND(H7/40,0)</f>
        <v>0</v>
      </c>
      <c r="I10" s="899">
        <f>ROUND(I7/40,0)</f>
        <v>0</v>
      </c>
      <c r="J10" s="899">
        <f>ROUND(J7/40,0)</f>
        <v>0</v>
      </c>
      <c r="K10" s="1156">
        <f>J10</f>
        <v>0</v>
      </c>
      <c r="L10" s="1157">
        <v>0</v>
      </c>
      <c r="M10" s="899">
        <v>12</v>
      </c>
      <c r="N10" s="899">
        <v>1</v>
      </c>
      <c r="O10" s="1156">
        <v>1</v>
      </c>
      <c r="P10" s="1157">
        <v>1</v>
      </c>
      <c r="Q10" s="899">
        <v>1</v>
      </c>
      <c r="R10" s="899">
        <v>1</v>
      </c>
    </row>
    <row r="11" spans="1:22" s="145" customFormat="1" ht="14" customHeight="1" x14ac:dyDescent="0.15">
      <c r="A11" s="177" t="s">
        <v>584</v>
      </c>
      <c r="B11" s="1148">
        <f>IF(B10=0,0,B8/B10)</f>
        <v>0</v>
      </c>
      <c r="C11" s="1148">
        <f t="shared" ref="C11:R11" si="0">IF(C10=0,0,C8/C10)</f>
        <v>0</v>
      </c>
      <c r="D11" s="1148">
        <f t="shared" si="0"/>
        <v>0</v>
      </c>
      <c r="E11" s="1148">
        <f t="shared" si="0"/>
        <v>0</v>
      </c>
      <c r="F11" s="1148">
        <f t="shared" si="0"/>
        <v>0</v>
      </c>
      <c r="G11" s="1158">
        <f t="shared" si="0"/>
        <v>0</v>
      </c>
      <c r="H11" s="1148">
        <f t="shared" si="0"/>
        <v>0</v>
      </c>
      <c r="I11" s="1148">
        <f t="shared" si="0"/>
        <v>0</v>
      </c>
      <c r="J11" s="1148">
        <f t="shared" si="0"/>
        <v>0</v>
      </c>
      <c r="K11" s="1148">
        <f t="shared" si="0"/>
        <v>0</v>
      </c>
      <c r="L11" s="1158">
        <f t="shared" si="0"/>
        <v>0</v>
      </c>
      <c r="M11" s="1148">
        <f t="shared" si="0"/>
        <v>0</v>
      </c>
      <c r="N11" s="1148">
        <f t="shared" si="0"/>
        <v>0</v>
      </c>
      <c r="O11" s="1148">
        <f t="shared" si="0"/>
        <v>0</v>
      </c>
      <c r="P11" s="1158">
        <f t="shared" si="0"/>
        <v>0</v>
      </c>
      <c r="Q11" s="1148">
        <f t="shared" si="0"/>
        <v>0</v>
      </c>
      <c r="R11" s="1148">
        <f t="shared" si="0"/>
        <v>0</v>
      </c>
    </row>
    <row r="12" spans="1:22" ht="14" customHeight="1" x14ac:dyDescent="0.15">
      <c r="A12" s="178" t="s">
        <v>536</v>
      </c>
      <c r="B12" s="900">
        <f>IF(B10=0,0,'4buildings'!B48/B10)</f>
        <v>0</v>
      </c>
      <c r="C12" s="900">
        <f>IF(C10=0,0,'4buildings'!C48/C10)</f>
        <v>0</v>
      </c>
      <c r="D12" s="900">
        <f>IF(D10=0,0,'4buildings'!D48/D10)</f>
        <v>0</v>
      </c>
      <c r="E12" s="900">
        <f>IF(E10=0,0,'4buildings'!E48/E10)</f>
        <v>0</v>
      </c>
      <c r="F12" s="900">
        <f>IF(F10=0,0,'4buildings'!F48/F10)</f>
        <v>0</v>
      </c>
      <c r="G12" s="1104">
        <f>IF(G10=0,0,'4buildings'!G48/G10)</f>
        <v>0</v>
      </c>
      <c r="H12" s="900">
        <f>IF(H10=0,0,'4buildings'!H48/H10)</f>
        <v>0</v>
      </c>
      <c r="I12" s="900">
        <f>IF(I10=0,0,'4buildings'!I48/I10)</f>
        <v>0</v>
      </c>
      <c r="J12" s="900">
        <f>IF(J10=0,0,'4buildings'!J48/J10)</f>
        <v>0</v>
      </c>
      <c r="K12" s="900">
        <f>IF(K10=0,0,'4buildings'!K48/K10)</f>
        <v>0</v>
      </c>
      <c r="L12" s="1104">
        <f>IF(L10=0,0,'4buildings'!L48/L10)</f>
        <v>0</v>
      </c>
      <c r="M12" s="900">
        <f>IF(M10=0,0,'4buildings'!M48/M10)</f>
        <v>0</v>
      </c>
      <c r="N12" s="900">
        <f>IF(N10=0,0,'4buildings'!N48/N10)</f>
        <v>0</v>
      </c>
      <c r="O12" s="900">
        <f>IF(O10=0,0,'4buildings'!O48/O10)</f>
        <v>0</v>
      </c>
      <c r="P12" s="1104">
        <f>IF(P10=0,0,'4buildings'!P48/P10)</f>
        <v>0</v>
      </c>
      <c r="Q12" s="900">
        <f>IF(Q10=0,0,'4buildings'!Q48/Q10)</f>
        <v>0</v>
      </c>
      <c r="R12" s="900">
        <f>IF(R10=0,0,'4buildings'!R48/R10)</f>
        <v>0</v>
      </c>
    </row>
    <row r="13" spans="1:22" ht="14" customHeight="1" x14ac:dyDescent="0.15">
      <c r="A13" s="148"/>
      <c r="B13" s="900"/>
      <c r="C13" s="900"/>
      <c r="D13" s="900"/>
      <c r="E13" s="900"/>
      <c r="F13" s="900"/>
      <c r="G13" s="900"/>
      <c r="H13" s="900"/>
      <c r="I13" s="900"/>
      <c r="J13" s="900"/>
      <c r="K13" s="900"/>
      <c r="L13" s="900"/>
      <c r="M13" s="900"/>
      <c r="N13" s="900"/>
      <c r="O13" s="900"/>
      <c r="P13" s="900"/>
      <c r="Q13" s="900"/>
      <c r="R13" s="900"/>
    </row>
    <row r="14" spans="1:22" ht="14" customHeight="1" x14ac:dyDescent="0.15">
      <c r="A14" s="700" t="s">
        <v>486</v>
      </c>
      <c r="B14" s="1149"/>
      <c r="C14" s="1149"/>
      <c r="D14" s="1149"/>
      <c r="E14" s="1149"/>
      <c r="F14" s="1149"/>
      <c r="G14" s="1150"/>
      <c r="H14" s="1149"/>
      <c r="I14" s="1149"/>
      <c r="J14" s="1149"/>
      <c r="K14" s="1149"/>
      <c r="L14" s="900"/>
      <c r="M14" s="900"/>
      <c r="N14" s="900"/>
      <c r="O14" s="900"/>
      <c r="P14" s="900"/>
      <c r="Q14" s="900"/>
      <c r="R14" s="900"/>
    </row>
    <row r="15" spans="1:22" s="145" customFormat="1" ht="14" customHeight="1" x14ac:dyDescent="0.15">
      <c r="A15" s="641" t="s">
        <v>528</v>
      </c>
      <c r="B15" s="1151">
        <v>0</v>
      </c>
      <c r="C15" s="1151">
        <v>0</v>
      </c>
      <c r="D15" s="1151">
        <v>0</v>
      </c>
      <c r="E15" s="1151">
        <v>0</v>
      </c>
      <c r="F15" s="1151">
        <v>0</v>
      </c>
      <c r="G15" s="1164">
        <v>0</v>
      </c>
      <c r="H15" s="1166">
        <v>0</v>
      </c>
      <c r="I15" s="1151">
        <v>0</v>
      </c>
      <c r="J15" s="1151">
        <v>0</v>
      </c>
      <c r="K15" s="1167">
        <v>0</v>
      </c>
      <c r="L15" s="1164">
        <v>20</v>
      </c>
      <c r="M15" s="1160">
        <v>0</v>
      </c>
      <c r="N15" s="1152">
        <v>40</v>
      </c>
      <c r="O15" s="1159">
        <v>30</v>
      </c>
      <c r="P15" s="1161">
        <v>9</v>
      </c>
      <c r="Q15" s="1160">
        <v>12</v>
      </c>
      <c r="R15" s="1152">
        <v>6</v>
      </c>
    </row>
    <row r="16" spans="1:22" s="145" customFormat="1" ht="14" customHeight="1" x14ac:dyDescent="0.15">
      <c r="A16" s="641" t="s">
        <v>529</v>
      </c>
      <c r="B16" s="1151">
        <v>0</v>
      </c>
      <c r="C16" s="1151">
        <v>0</v>
      </c>
      <c r="D16" s="1151">
        <v>0</v>
      </c>
      <c r="E16" s="1151">
        <v>0</v>
      </c>
      <c r="F16" s="1151">
        <v>0</v>
      </c>
      <c r="G16" s="1164">
        <v>0</v>
      </c>
      <c r="H16" s="1166">
        <v>0</v>
      </c>
      <c r="I16" s="1151">
        <v>0</v>
      </c>
      <c r="J16" s="1151">
        <v>0</v>
      </c>
      <c r="K16" s="1167">
        <v>0</v>
      </c>
      <c r="L16" s="1164">
        <v>0</v>
      </c>
      <c r="M16" s="1160">
        <v>0</v>
      </c>
      <c r="N16" s="1152">
        <v>0</v>
      </c>
      <c r="O16" s="1159">
        <v>24</v>
      </c>
      <c r="P16" s="1161">
        <v>0</v>
      </c>
      <c r="Q16" s="1160">
        <v>0</v>
      </c>
      <c r="R16" s="1152">
        <v>0</v>
      </c>
    </row>
    <row r="17" spans="1:18" s="146" customFormat="1" ht="14" customHeight="1" x14ac:dyDescent="0.15">
      <c r="A17" s="178" t="s">
        <v>585</v>
      </c>
      <c r="B17" s="1153">
        <f t="shared" ref="B17:L17" si="1">IF(B11=0,0,B11-B15-B16)</f>
        <v>0</v>
      </c>
      <c r="C17" s="1153">
        <f t="shared" si="1"/>
        <v>0</v>
      </c>
      <c r="D17" s="1153">
        <f t="shared" si="1"/>
        <v>0</v>
      </c>
      <c r="E17" s="1153">
        <f t="shared" si="1"/>
        <v>0</v>
      </c>
      <c r="F17" s="1153">
        <f t="shared" si="1"/>
        <v>0</v>
      </c>
      <c r="G17" s="1165">
        <f t="shared" si="1"/>
        <v>0</v>
      </c>
      <c r="H17" s="1153">
        <f t="shared" si="1"/>
        <v>0</v>
      </c>
      <c r="I17" s="1153">
        <f t="shared" si="1"/>
        <v>0</v>
      </c>
      <c r="J17" s="1153">
        <f t="shared" si="1"/>
        <v>0</v>
      </c>
      <c r="K17" s="1153">
        <f t="shared" si="1"/>
        <v>0</v>
      </c>
      <c r="L17" s="1165">
        <f t="shared" si="1"/>
        <v>0</v>
      </c>
      <c r="M17" s="1153">
        <f>IF(M11=0,0,M11-M15-M16)</f>
        <v>0</v>
      </c>
      <c r="N17" s="1153">
        <f t="shared" ref="N17:R17" si="2">IF(N11=0,0,N11-N15-N16)</f>
        <v>0</v>
      </c>
      <c r="O17" s="1153">
        <f t="shared" si="2"/>
        <v>0</v>
      </c>
      <c r="P17" s="1165">
        <f t="shared" si="2"/>
        <v>0</v>
      </c>
      <c r="Q17" s="1153">
        <f t="shared" si="2"/>
        <v>0</v>
      </c>
      <c r="R17" s="1153">
        <f t="shared" si="2"/>
        <v>0</v>
      </c>
    </row>
    <row r="18" spans="1:18" ht="14" customHeight="1" x14ac:dyDescent="0.15">
      <c r="A18" s="643"/>
      <c r="B18" s="1122"/>
      <c r="C18" s="1122"/>
      <c r="D18" s="1122"/>
      <c r="E18" s="1122"/>
      <c r="F18" s="1122"/>
      <c r="G18" s="1122"/>
      <c r="H18" s="1122"/>
      <c r="I18" s="1122"/>
      <c r="J18" s="1122"/>
      <c r="K18" s="1122"/>
      <c r="L18" s="1122"/>
      <c r="M18" s="1122"/>
      <c r="N18" s="1122"/>
      <c r="O18" s="1122"/>
      <c r="P18" s="1122"/>
      <c r="Q18" s="1154"/>
      <c r="R18" s="1122"/>
    </row>
    <row r="19" spans="1:18" ht="14" customHeight="1" x14ac:dyDescent="0.15">
      <c r="A19" s="177" t="s">
        <v>464</v>
      </c>
      <c r="B19" s="1155">
        <f t="shared" ref="B19:K19" si="3">IF(B11=0,0,COUNTIF(B15:B16,"&gt;0"))</f>
        <v>0</v>
      </c>
      <c r="C19" s="1155">
        <f t="shared" si="3"/>
        <v>0</v>
      </c>
      <c r="D19" s="1155">
        <f t="shared" si="3"/>
        <v>0</v>
      </c>
      <c r="E19" s="1155">
        <f t="shared" si="3"/>
        <v>0</v>
      </c>
      <c r="F19" s="1155">
        <f t="shared" si="3"/>
        <v>0</v>
      </c>
      <c r="G19" s="1162">
        <f t="shared" si="3"/>
        <v>0</v>
      </c>
      <c r="H19" s="1155">
        <f t="shared" si="3"/>
        <v>0</v>
      </c>
      <c r="I19" s="1155">
        <f t="shared" si="3"/>
        <v>0</v>
      </c>
      <c r="J19" s="1155">
        <f t="shared" si="3"/>
        <v>0</v>
      </c>
      <c r="K19" s="1155">
        <f t="shared" si="3"/>
        <v>0</v>
      </c>
      <c r="L19" s="1162">
        <f>IF(L11=0,0,COUNTIF(L15:L16,"&gt;0"))</f>
        <v>0</v>
      </c>
      <c r="M19" s="1155">
        <f t="shared" ref="M19:R19" si="4">IF(M11=0,0,COUNTIF(M15:M16,"&gt;0"))</f>
        <v>0</v>
      </c>
      <c r="N19" s="1155">
        <f t="shared" si="4"/>
        <v>0</v>
      </c>
      <c r="O19" s="1155">
        <f t="shared" si="4"/>
        <v>0</v>
      </c>
      <c r="P19" s="1162">
        <f t="shared" si="4"/>
        <v>0</v>
      </c>
      <c r="Q19" s="1155">
        <f t="shared" si="4"/>
        <v>0</v>
      </c>
      <c r="R19" s="1155">
        <f t="shared" si="4"/>
        <v>0</v>
      </c>
    </row>
    <row r="20" spans="1:18" s="146" customFormat="1" ht="14" customHeight="1" x14ac:dyDescent="0.15">
      <c r="A20" s="178" t="s">
        <v>485</v>
      </c>
      <c r="B20" s="639">
        <f t="shared" ref="B20:R20" si="5">B10*(1+B19)</f>
        <v>0</v>
      </c>
      <c r="C20" s="639">
        <f t="shared" si="5"/>
        <v>0</v>
      </c>
      <c r="D20" s="639">
        <f t="shared" si="5"/>
        <v>0</v>
      </c>
      <c r="E20" s="639">
        <f t="shared" si="5"/>
        <v>0</v>
      </c>
      <c r="F20" s="639">
        <f t="shared" si="5"/>
        <v>0</v>
      </c>
      <c r="G20" s="1163">
        <f t="shared" si="5"/>
        <v>0</v>
      </c>
      <c r="H20" s="639">
        <f t="shared" si="5"/>
        <v>0</v>
      </c>
      <c r="I20" s="639">
        <f t="shared" si="5"/>
        <v>0</v>
      </c>
      <c r="J20" s="639">
        <f t="shared" si="5"/>
        <v>0</v>
      </c>
      <c r="K20" s="639">
        <f t="shared" si="5"/>
        <v>0</v>
      </c>
      <c r="L20" s="1163">
        <f t="shared" si="5"/>
        <v>0</v>
      </c>
      <c r="M20" s="639">
        <f t="shared" si="5"/>
        <v>12</v>
      </c>
      <c r="N20" s="639">
        <f t="shared" si="5"/>
        <v>1</v>
      </c>
      <c r="O20" s="639">
        <f t="shared" si="5"/>
        <v>1</v>
      </c>
      <c r="P20" s="1163">
        <f t="shared" si="5"/>
        <v>1</v>
      </c>
      <c r="Q20" s="639">
        <f t="shared" si="5"/>
        <v>1</v>
      </c>
      <c r="R20" s="639">
        <f t="shared" si="5"/>
        <v>1</v>
      </c>
    </row>
    <row r="22" spans="1:18" ht="14" customHeight="1" x14ac:dyDescent="0.15">
      <c r="A22" s="64" t="s">
        <v>48</v>
      </c>
    </row>
    <row r="23" spans="1:18" ht="14" customHeight="1" x14ac:dyDescent="0.15">
      <c r="A23" s="53" t="s">
        <v>45</v>
      </c>
    </row>
    <row r="25" spans="1:18" ht="14" customHeight="1" x14ac:dyDescent="0.15">
      <c r="A25" s="39" t="str">
        <f>"@Matt: include legal and tax costs"</f>
        <v>@Matt: include legal and tax costs</v>
      </c>
    </row>
  </sheetData>
  <sheetProtection selectLockedCells="1"/>
  <pageMargins left="0.7" right="0.7" top="0.75" bottom="0.75" header="0.3" footer="0.3"/>
  <pageSetup paperSize="9" scale="82" fitToHeight="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9490F-E4F1-CB40-8B03-82992518100D}">
  <sheetPr>
    <tabColor theme="6" tint="-0.249977111117893"/>
    <pageSetUpPr fitToPage="1"/>
  </sheetPr>
  <dimension ref="A1:U71"/>
  <sheetViews>
    <sheetView zoomScale="200" zoomScaleNormal="200" workbookViewId="0">
      <selection activeCell="B43" sqref="B43"/>
    </sheetView>
  </sheetViews>
  <sheetFormatPr baseColWidth="10" defaultColWidth="10.6640625" defaultRowHeight="14" customHeight="1" x14ac:dyDescent="0.15"/>
  <cols>
    <col min="1" max="1" width="42.6640625" style="110" customWidth="1"/>
    <col min="2" max="10" width="9.33203125" style="108" hidden="1" customWidth="1"/>
    <col min="11" max="12" width="9.33203125" style="109" hidden="1" customWidth="1"/>
    <col min="13" max="18" width="14.5" style="109" customWidth="1"/>
    <col min="19" max="19" width="10.6640625" style="109" customWidth="1"/>
    <col min="20" max="16384" width="10.6640625" style="109"/>
  </cols>
  <sheetData>
    <row r="1" spans="1:21" s="107" customFormat="1" ht="14" customHeight="1" x14ac:dyDescent="0.15">
      <c r="A1" s="105" t="s">
        <v>667</v>
      </c>
      <c r="B1" s="106"/>
      <c r="C1" s="106"/>
      <c r="D1" s="106"/>
      <c r="E1" s="106"/>
      <c r="F1" s="106"/>
      <c r="G1" s="106"/>
      <c r="H1" s="106"/>
      <c r="I1" s="106"/>
      <c r="J1" s="106"/>
    </row>
    <row r="2" spans="1:21" ht="42" customHeight="1" thickBot="1" x14ac:dyDescent="0.2">
      <c r="A2" s="471" t="s">
        <v>379</v>
      </c>
      <c r="B2" s="403" t="s">
        <v>143</v>
      </c>
      <c r="C2" s="404" t="s">
        <v>144</v>
      </c>
      <c r="D2" s="405" t="s">
        <v>145</v>
      </c>
      <c r="E2" s="935" t="s">
        <v>146</v>
      </c>
      <c r="F2" s="935" t="s">
        <v>628</v>
      </c>
      <c r="G2" s="470" t="s">
        <v>630</v>
      </c>
      <c r="H2" s="406" t="s">
        <v>147</v>
      </c>
      <c r="I2" s="407" t="s">
        <v>148</v>
      </c>
      <c r="J2" s="408" t="s">
        <v>16</v>
      </c>
      <c r="K2" s="408" t="s">
        <v>627</v>
      </c>
      <c r="L2" s="470" t="s">
        <v>631</v>
      </c>
      <c r="M2" s="409" t="s">
        <v>625</v>
      </c>
      <c r="N2" s="410" t="s">
        <v>475</v>
      </c>
      <c r="O2" s="410" t="s">
        <v>626</v>
      </c>
      <c r="P2" s="508" t="s">
        <v>629</v>
      </c>
      <c r="Q2" s="411" t="s">
        <v>623</v>
      </c>
      <c r="R2" s="1411" t="s">
        <v>624</v>
      </c>
    </row>
    <row r="3" spans="1:21" s="146" customFormat="1" ht="14" customHeight="1" x14ac:dyDescent="0.15">
      <c r="A3" s="692" t="str">
        <f>'4buildings'!A20</f>
        <v>Starter type</v>
      </c>
      <c r="B3" s="195" t="str">
        <f>'4buildings'!B20</f>
        <v>lot only</v>
      </c>
      <c r="C3" s="195" t="str">
        <f>'4buildings'!C20</f>
        <v>lot only</v>
      </c>
      <c r="D3" s="195" t="str">
        <f>'4buildings'!D20</f>
        <v>lot only</v>
      </c>
      <c r="E3" s="195" t="str">
        <f>'4buildings'!E20</f>
        <v>mixed-use building</v>
      </c>
      <c r="F3" s="195" t="str">
        <f>'4buildings'!F20</f>
        <v>mixed-use building</v>
      </c>
      <c r="G3" s="195" t="str">
        <f>'4buildings'!G20</f>
        <v>lot only</v>
      </c>
      <c r="H3" s="195" t="str">
        <f>'4buildings'!H20</f>
        <v>lot only</v>
      </c>
      <c r="I3" s="195" t="str">
        <f>'4buildings'!I20</f>
        <v>lot only</v>
      </c>
      <c r="J3" s="305" t="str">
        <f>'4buildings'!J20</f>
        <v>mixed-use building</v>
      </c>
      <c r="K3" s="195" t="str">
        <f>'4buildings'!K20</f>
        <v>mixed-use building</v>
      </c>
      <c r="L3" s="195" t="str">
        <f>'4buildings'!L20</f>
        <v>lot only</v>
      </c>
      <c r="M3" s="900" t="str">
        <f>'4buildings'!M20</f>
        <v>apartments</v>
      </c>
      <c r="N3" s="900" t="str">
        <f>'4buildings'!N20</f>
        <v>shell</v>
      </c>
      <c r="O3" s="900" t="str">
        <f>'4buildings'!O20</f>
        <v>shell</v>
      </c>
      <c r="P3" s="901" t="str">
        <f>'4buildings'!P20</f>
        <v>core</v>
      </c>
      <c r="Q3" s="900" t="str">
        <f>'4buildings'!Q20</f>
        <v>core</v>
      </c>
      <c r="R3" s="900" t="str">
        <f>'4buildings'!R20</f>
        <v>roof</v>
      </c>
    </row>
    <row r="4" spans="1:21" s="145" customFormat="1" ht="14" customHeight="1" thickBot="1" x14ac:dyDescent="0.2">
      <c r="A4" s="694" t="str">
        <f>'5dwellings'!A11</f>
        <v>starter dwelling main units (owned), average gross area</v>
      </c>
      <c r="B4" s="390"/>
      <c r="C4" s="390"/>
      <c r="D4" s="390"/>
      <c r="E4" s="390"/>
      <c r="F4" s="390"/>
      <c r="G4" s="390"/>
      <c r="H4" s="390"/>
      <c r="I4" s="390"/>
      <c r="J4" s="390"/>
      <c r="K4" s="390"/>
      <c r="L4" s="390"/>
      <c r="M4" s="1228">
        <f>'5dwellings'!M11</f>
        <v>0</v>
      </c>
      <c r="N4" s="1228">
        <f>'5dwellings'!N11</f>
        <v>0</v>
      </c>
      <c r="O4" s="1228">
        <f>'5dwellings'!O11</f>
        <v>0</v>
      </c>
      <c r="P4" s="1229">
        <f>'5dwellings'!P11</f>
        <v>0</v>
      </c>
      <c r="Q4" s="1228">
        <f>'5dwellings'!Q11</f>
        <v>0</v>
      </c>
      <c r="R4" s="1228">
        <f>'5dwellings'!R11</f>
        <v>0</v>
      </c>
    </row>
    <row r="5" spans="1:21" s="145" customFormat="1" ht="14" customHeight="1" x14ac:dyDescent="0.15">
      <c r="A5" s="695" t="s">
        <v>467</v>
      </c>
      <c r="B5" s="193">
        <f>IF('4buildings'!B35=0,0,'4buildings'!B17*'5dwellings'!B12/'4buildings'!B35)</f>
        <v>0</v>
      </c>
      <c r="C5" s="193">
        <f>IF('4buildings'!C35=0,0,'4buildings'!C17*'5dwellings'!C12/'4buildings'!C35)</f>
        <v>0</v>
      </c>
      <c r="D5" s="193">
        <f>IF('4buildings'!D35=0,0,'4buildings'!D17*'5dwellings'!D12/'4buildings'!D35)</f>
        <v>0</v>
      </c>
      <c r="E5" s="193">
        <f>IF('4buildings'!E35=0,0,'4buildings'!E17*'5dwellings'!E12/'4buildings'!E35)</f>
        <v>0</v>
      </c>
      <c r="F5" s="193">
        <f>IF('4buildings'!F35=0,0,'4buildings'!F17*'5dwellings'!F12/'4buildings'!F35)</f>
        <v>0</v>
      </c>
      <c r="G5" s="193">
        <f>IF('4buildings'!G35=0,0,'4buildings'!G17*'5dwellings'!G12/'4buildings'!G35)</f>
        <v>0</v>
      </c>
      <c r="H5" s="193">
        <f>IF('4buildings'!H35=0,0,'4buildings'!H17*'5dwellings'!H12/'4buildings'!H35)</f>
        <v>0</v>
      </c>
      <c r="I5" s="193">
        <f>IF('4buildings'!I35=0,0,'4buildings'!I17*'5dwellings'!I12/'4buildings'!I35)</f>
        <v>0</v>
      </c>
      <c r="J5" s="194">
        <f>IF('4buildings'!J35=0,0,'4buildings'!J17*'5dwellings'!J12/'4buildings'!J35)</f>
        <v>0</v>
      </c>
      <c r="K5" s="193">
        <f>IF('4buildings'!K35=0,0,'4buildings'!K17*'5dwellings'!K12/'4buildings'!K35)</f>
        <v>0</v>
      </c>
      <c r="L5" s="193">
        <f>IF('4buildings'!L35=0,0,'4buildings'!L17*'5dwellings'!L12/'4buildings'!L35)</f>
        <v>0</v>
      </c>
      <c r="M5" s="385">
        <f>IF('4buildings'!M35=0,0,'4buildings'!M17*'5dwellings'!M12/'4buildings'!M35)</f>
        <v>0</v>
      </c>
      <c r="N5" s="385">
        <f>IF('4buildings'!N35=0,0,'4buildings'!N17*'5dwellings'!N12/'4buildings'!N35)</f>
        <v>0</v>
      </c>
      <c r="O5" s="385">
        <f>IF('4buildings'!O35=0,0,'4buildings'!O17*'5dwellings'!O12/'4buildings'!O35)</f>
        <v>0</v>
      </c>
      <c r="P5" s="680">
        <f>IF('4buildings'!P35=0,0,'4buildings'!P17*'5dwellings'!P12/'4buildings'!P35)</f>
        <v>0</v>
      </c>
      <c r="Q5" s="385">
        <f>IF('4buildings'!Q35=0,0,'4buildings'!Q17*'5dwellings'!Q12/'4buildings'!Q35)</f>
        <v>0</v>
      </c>
      <c r="R5" s="385">
        <f>IF('4buildings'!R35=0,0,'4buildings'!R17*'5dwellings'!R12/'4buildings'!R35)</f>
        <v>0</v>
      </c>
    </row>
    <row r="6" spans="1:21" s="145" customFormat="1" ht="14" customHeight="1" x14ac:dyDescent="0.15">
      <c r="A6" s="695" t="s">
        <v>468</v>
      </c>
      <c r="B6" s="193"/>
      <c r="C6" s="193"/>
      <c r="D6" s="193"/>
      <c r="E6" s="193"/>
      <c r="F6" s="193"/>
      <c r="G6" s="193"/>
      <c r="H6" s="193"/>
      <c r="I6" s="193"/>
      <c r="J6" s="194"/>
      <c r="K6" s="193"/>
      <c r="L6" s="193"/>
      <c r="M6" s="385">
        <f>'5dwellings'!M12-M5</f>
        <v>0</v>
      </c>
      <c r="N6" s="385">
        <f>'5dwellings'!N12-N5</f>
        <v>0</v>
      </c>
      <c r="O6" s="385">
        <f>'5dwellings'!O12-O5</f>
        <v>0</v>
      </c>
      <c r="P6" s="680">
        <f>'5dwellings'!P12-P5</f>
        <v>0</v>
      </c>
      <c r="Q6" s="385">
        <f>'5dwellings'!Q12-Q5</f>
        <v>0</v>
      </c>
      <c r="R6" s="385">
        <f>'5dwellings'!R12-R5</f>
        <v>0</v>
      </c>
    </row>
    <row r="7" spans="1:21" s="145" customFormat="1" ht="14" customHeight="1" thickBot="1" x14ac:dyDescent="0.2">
      <c r="A7" s="695" t="s">
        <v>466</v>
      </c>
      <c r="B7" s="193"/>
      <c r="C7" s="193"/>
      <c r="D7" s="193"/>
      <c r="E7" s="193"/>
      <c r="F7" s="193"/>
      <c r="G7" s="193"/>
      <c r="H7" s="193"/>
      <c r="I7" s="193"/>
      <c r="J7" s="194"/>
      <c r="K7" s="195"/>
      <c r="L7" s="193"/>
      <c r="M7" s="653">
        <v>0</v>
      </c>
      <c r="N7" s="653">
        <v>0</v>
      </c>
      <c r="O7" s="678">
        <v>0</v>
      </c>
      <c r="P7" s="653">
        <v>0</v>
      </c>
      <c r="Q7" s="679">
        <v>0</v>
      </c>
      <c r="R7" s="653">
        <v>2000</v>
      </c>
      <c r="S7" s="303"/>
    </row>
    <row r="8" spans="1:21" s="145" customFormat="1" ht="14" customHeight="1" thickTop="1" thickBot="1" x14ac:dyDescent="0.2">
      <c r="A8" s="344" t="s">
        <v>254</v>
      </c>
      <c r="B8" s="341"/>
      <c r="C8" s="341"/>
      <c r="D8" s="341"/>
      <c r="E8" s="341"/>
      <c r="F8" s="341"/>
      <c r="G8" s="341"/>
      <c r="H8" s="341"/>
      <c r="I8" s="341"/>
      <c r="J8" s="342"/>
      <c r="K8" s="343"/>
      <c r="L8" s="341"/>
      <c r="M8" s="386">
        <f>IF(M4=0,0,SUM(M5:M7))</f>
        <v>0</v>
      </c>
      <c r="N8" s="386">
        <f t="shared" ref="N8:R8" si="0">IF(N4=0,0,SUM(N5:N7))</f>
        <v>0</v>
      </c>
      <c r="O8" s="386">
        <f t="shared" si="0"/>
        <v>0</v>
      </c>
      <c r="P8" s="681">
        <f t="shared" si="0"/>
        <v>0</v>
      </c>
      <c r="Q8" s="386">
        <f t="shared" si="0"/>
        <v>0</v>
      </c>
      <c r="R8" s="387">
        <f t="shared" si="0"/>
        <v>0</v>
      </c>
    </row>
    <row r="9" spans="1:21" ht="14" customHeight="1" thickTop="1" x14ac:dyDescent="0.15">
      <c r="A9" s="333" t="s">
        <v>255</v>
      </c>
      <c r="B9" s="196"/>
      <c r="C9" s="196"/>
      <c r="D9" s="196"/>
      <c r="E9" s="196"/>
      <c r="F9" s="196"/>
      <c r="G9" s="196"/>
      <c r="H9" s="196"/>
      <c r="I9" s="196"/>
      <c r="J9" s="196"/>
      <c r="K9" s="197"/>
      <c r="L9" s="197"/>
      <c r="M9" s="363"/>
      <c r="N9" s="363"/>
      <c r="O9" s="363"/>
      <c r="P9" s="363"/>
      <c r="Q9" s="363"/>
      <c r="R9" s="363"/>
      <c r="T9" s="145"/>
    </row>
    <row r="10" spans="1:21" ht="14" customHeight="1" x14ac:dyDescent="0.15">
      <c r="A10" s="333" t="s">
        <v>558</v>
      </c>
      <c r="B10" s="196"/>
      <c r="C10" s="196"/>
      <c r="D10" s="196"/>
      <c r="E10" s="196"/>
      <c r="F10" s="196"/>
      <c r="G10" s="196"/>
      <c r="H10" s="196"/>
      <c r="I10" s="196"/>
      <c r="J10" s="196"/>
      <c r="K10" s="197"/>
      <c r="L10" s="197"/>
      <c r="M10" s="363"/>
      <c r="N10" s="363"/>
      <c r="O10" s="363"/>
      <c r="P10" s="363"/>
      <c r="Q10" s="363"/>
      <c r="R10" s="363"/>
      <c r="T10" s="145"/>
    </row>
    <row r="11" spans="1:21" ht="14" customHeight="1" x14ac:dyDescent="0.15">
      <c r="A11" s="109"/>
      <c r="B11" s="196"/>
      <c r="C11" s="196"/>
      <c r="D11" s="196"/>
      <c r="E11" s="196"/>
      <c r="F11" s="196"/>
      <c r="G11" s="196"/>
      <c r="H11" s="196"/>
      <c r="I11" s="196"/>
      <c r="J11" s="196"/>
      <c r="K11" s="197"/>
      <c r="L11" s="197"/>
    </row>
    <row r="12" spans="1:21" ht="14" customHeight="1" x14ac:dyDescent="0.15">
      <c r="A12" s="1338" t="s">
        <v>663</v>
      </c>
      <c r="B12" s="196"/>
      <c r="C12" s="196"/>
      <c r="D12" s="196"/>
      <c r="E12" s="196"/>
      <c r="F12" s="196"/>
      <c r="G12" s="196"/>
      <c r="H12" s="196"/>
      <c r="I12" s="196"/>
      <c r="J12" s="196"/>
      <c r="K12" s="197"/>
      <c r="L12" s="197"/>
    </row>
    <row r="13" spans="1:21" ht="13" customHeight="1" thickBot="1" x14ac:dyDescent="0.2">
      <c r="A13" s="1520" t="s">
        <v>664</v>
      </c>
      <c r="B13" s="1521"/>
      <c r="C13" s="1521"/>
      <c r="D13" s="1521"/>
      <c r="E13" s="1521"/>
      <c r="F13" s="1521"/>
      <c r="G13" s="1521"/>
      <c r="H13" s="1521"/>
      <c r="I13" s="1521"/>
      <c r="J13" s="1521"/>
      <c r="K13" s="1521"/>
      <c r="L13" s="1521"/>
      <c r="M13" s="1521"/>
      <c r="N13" s="1521"/>
      <c r="O13" s="1521"/>
      <c r="P13" s="1521"/>
      <c r="Q13" s="1521"/>
      <c r="R13" s="1521"/>
    </row>
    <row r="14" spans="1:21" s="145" customFormat="1" ht="14" customHeight="1" thickTop="1" thickBot="1" x14ac:dyDescent="0.2">
      <c r="A14" s="346" t="s">
        <v>175</v>
      </c>
      <c r="B14" s="299"/>
      <c r="C14" s="299"/>
      <c r="D14" s="299"/>
      <c r="E14" s="299"/>
      <c r="F14" s="299"/>
      <c r="G14" s="299"/>
      <c r="H14" s="299"/>
      <c r="I14" s="299"/>
      <c r="J14" s="300"/>
      <c r="K14" s="301"/>
      <c r="L14" s="299"/>
      <c r="M14" s="350">
        <v>0</v>
      </c>
      <c r="N14" s="350">
        <v>1</v>
      </c>
      <c r="O14" s="351">
        <v>1</v>
      </c>
      <c r="P14" s="351">
        <v>1</v>
      </c>
      <c r="Q14" s="350">
        <v>1</v>
      </c>
      <c r="R14" s="352">
        <v>1</v>
      </c>
      <c r="T14" s="109"/>
      <c r="U14" s="109"/>
    </row>
    <row r="15" spans="1:21" s="145" customFormat="1" ht="14" customHeight="1" thickTop="1" x14ac:dyDescent="0.15">
      <c r="A15" s="347" t="s">
        <v>240</v>
      </c>
      <c r="B15" s="193"/>
      <c r="C15" s="193"/>
      <c r="D15" s="193"/>
      <c r="E15" s="193"/>
      <c r="F15" s="193"/>
      <c r="G15" s="193"/>
      <c r="H15" s="193"/>
      <c r="I15" s="193"/>
      <c r="J15" s="194"/>
      <c r="K15" s="193"/>
      <c r="L15" s="193"/>
      <c r="M15" s="353">
        <f t="shared" ref="M15:R15" si="1">M5*M14</f>
        <v>0</v>
      </c>
      <c r="N15" s="353">
        <f t="shared" si="1"/>
        <v>0</v>
      </c>
      <c r="O15" s="353">
        <f t="shared" si="1"/>
        <v>0</v>
      </c>
      <c r="P15" s="354">
        <f t="shared" si="1"/>
        <v>0</v>
      </c>
      <c r="Q15" s="354">
        <f t="shared" si="1"/>
        <v>0</v>
      </c>
      <c r="R15" s="355">
        <f t="shared" si="1"/>
        <v>0</v>
      </c>
      <c r="T15" s="109"/>
      <c r="U15" s="109"/>
    </row>
    <row r="16" spans="1:21" s="145" customFormat="1" ht="14" customHeight="1" x14ac:dyDescent="0.15">
      <c r="A16" s="347" t="s">
        <v>244</v>
      </c>
      <c r="B16" s="193"/>
      <c r="C16" s="193"/>
      <c r="D16" s="193"/>
      <c r="E16" s="193"/>
      <c r="F16" s="193"/>
      <c r="G16" s="193"/>
      <c r="H16" s="193"/>
      <c r="I16" s="193"/>
      <c r="J16" s="194"/>
      <c r="K16" s="195"/>
      <c r="L16" s="193"/>
      <c r="M16" s="334">
        <v>300</v>
      </c>
      <c r="N16" s="335">
        <f>M16</f>
        <v>300</v>
      </c>
      <c r="O16" s="335">
        <f>M16</f>
        <v>300</v>
      </c>
      <c r="P16" s="336">
        <f>M16</f>
        <v>300</v>
      </c>
      <c r="Q16" s="335">
        <f>M16</f>
        <v>300</v>
      </c>
      <c r="R16" s="337">
        <f>M16</f>
        <v>300</v>
      </c>
      <c r="T16" s="109"/>
      <c r="U16" s="109"/>
    </row>
    <row r="17" spans="1:21" s="145" customFormat="1" ht="14" customHeight="1" thickBot="1" x14ac:dyDescent="0.2">
      <c r="A17" s="347" t="s">
        <v>545</v>
      </c>
      <c r="B17" s="193"/>
      <c r="C17" s="193"/>
      <c r="D17" s="193"/>
      <c r="E17" s="193"/>
      <c r="F17" s="193"/>
      <c r="G17" s="193"/>
      <c r="H17" s="193"/>
      <c r="I17" s="193"/>
      <c r="J17" s="194"/>
      <c r="K17" s="195"/>
      <c r="L17" s="193"/>
      <c r="M17" s="1176">
        <v>0.1</v>
      </c>
      <c r="N17" s="357">
        <f>M17</f>
        <v>0.1</v>
      </c>
      <c r="O17" s="357">
        <f>M17</f>
        <v>0.1</v>
      </c>
      <c r="P17" s="358">
        <f>M17</f>
        <v>0.1</v>
      </c>
      <c r="Q17" s="357">
        <f>M17</f>
        <v>0.1</v>
      </c>
      <c r="R17" s="359">
        <f>M17</f>
        <v>0.1</v>
      </c>
      <c r="T17" s="109"/>
      <c r="U17" s="109"/>
    </row>
    <row r="18" spans="1:21" ht="13" customHeight="1" thickTop="1" x14ac:dyDescent="0.15">
      <c r="A18" s="1524" t="s">
        <v>612</v>
      </c>
      <c r="B18" s="1525"/>
      <c r="C18" s="1525"/>
      <c r="D18" s="1525"/>
      <c r="E18" s="1525"/>
      <c r="F18" s="1525"/>
      <c r="G18" s="1525"/>
      <c r="H18" s="1525"/>
      <c r="I18" s="1525"/>
      <c r="J18" s="1525"/>
      <c r="K18" s="1525"/>
      <c r="L18" s="1525"/>
      <c r="M18" s="1525"/>
      <c r="N18" s="1525"/>
      <c r="O18" s="1525"/>
      <c r="P18" s="1525"/>
      <c r="Q18" s="1525"/>
      <c r="R18" s="1526"/>
    </row>
    <row r="19" spans="1:21" s="145" customFormat="1" ht="14" customHeight="1" x14ac:dyDescent="0.15">
      <c r="A19" s="347" t="s">
        <v>177</v>
      </c>
      <c r="B19" s="193"/>
      <c r="C19" s="193"/>
      <c r="D19" s="193"/>
      <c r="E19" s="193"/>
      <c r="F19" s="193"/>
      <c r="G19" s="193"/>
      <c r="H19" s="193"/>
      <c r="I19" s="193"/>
      <c r="J19" s="194"/>
      <c r="K19" s="195"/>
      <c r="L19" s="193"/>
      <c r="M19" s="356">
        <v>2.5000000000000001E-2</v>
      </c>
      <c r="N19" s="357">
        <f>M19</f>
        <v>2.5000000000000001E-2</v>
      </c>
      <c r="O19" s="357">
        <f>M19</f>
        <v>2.5000000000000001E-2</v>
      </c>
      <c r="P19" s="358">
        <f>M19</f>
        <v>2.5000000000000001E-2</v>
      </c>
      <c r="Q19" s="357">
        <f>M19</f>
        <v>2.5000000000000001E-2</v>
      </c>
      <c r="R19" s="359">
        <f>M19</f>
        <v>2.5000000000000001E-2</v>
      </c>
      <c r="T19" s="109"/>
      <c r="U19" s="109"/>
    </row>
    <row r="20" spans="1:21" s="145" customFormat="1" ht="14" customHeight="1" thickBot="1" x14ac:dyDescent="0.2">
      <c r="A20" s="348" t="s">
        <v>611</v>
      </c>
      <c r="B20" s="288"/>
      <c r="C20" s="288"/>
      <c r="D20" s="288"/>
      <c r="E20" s="288"/>
      <c r="F20" s="288"/>
      <c r="G20" s="288"/>
      <c r="H20" s="288"/>
      <c r="I20" s="288"/>
      <c r="J20" s="289"/>
      <c r="K20" s="290"/>
      <c r="L20" s="288"/>
      <c r="M20" s="1173">
        <f t="shared" ref="M20:R20" si="2">M17-M19</f>
        <v>7.5000000000000011E-2</v>
      </c>
      <c r="N20" s="1173">
        <f t="shared" si="2"/>
        <v>7.5000000000000011E-2</v>
      </c>
      <c r="O20" s="1173">
        <f t="shared" si="2"/>
        <v>7.5000000000000011E-2</v>
      </c>
      <c r="P20" s="1174">
        <f t="shared" si="2"/>
        <v>7.5000000000000011E-2</v>
      </c>
      <c r="Q20" s="1174">
        <f t="shared" si="2"/>
        <v>7.5000000000000011E-2</v>
      </c>
      <c r="R20" s="1175">
        <f t="shared" si="2"/>
        <v>7.5000000000000011E-2</v>
      </c>
      <c r="T20" s="109"/>
      <c r="U20" s="109"/>
    </row>
    <row r="21" spans="1:21" ht="13" customHeight="1" thickTop="1" x14ac:dyDescent="0.15">
      <c r="A21" s="1527" t="s">
        <v>613</v>
      </c>
      <c r="B21" s="1528"/>
      <c r="C21" s="1528"/>
      <c r="D21" s="1528"/>
      <c r="E21" s="1528"/>
      <c r="F21" s="1528"/>
      <c r="G21" s="1528"/>
      <c r="H21" s="1528"/>
      <c r="I21" s="1528"/>
      <c r="J21" s="1528"/>
      <c r="K21" s="1528"/>
      <c r="L21" s="1528"/>
      <c r="M21" s="1528"/>
      <c r="N21" s="1528"/>
      <c r="O21" s="1528"/>
      <c r="P21" s="1528"/>
      <c r="Q21" s="1528"/>
      <c r="R21" s="1529"/>
    </row>
    <row r="22" spans="1:21" s="145" customFormat="1" ht="14" customHeight="1" thickBot="1" x14ac:dyDescent="0.2">
      <c r="A22" s="348" t="s">
        <v>246</v>
      </c>
      <c r="B22" s="288"/>
      <c r="C22" s="288"/>
      <c r="D22" s="288"/>
      <c r="E22" s="288"/>
      <c r="F22" s="288"/>
      <c r="G22" s="288"/>
      <c r="H22" s="288"/>
      <c r="I22" s="288"/>
      <c r="J22" s="289"/>
      <c r="K22" s="290"/>
      <c r="L22" s="288"/>
      <c r="M22" s="648">
        <v>0</v>
      </c>
      <c r="N22" s="360">
        <f>M22</f>
        <v>0</v>
      </c>
      <c r="O22" s="360">
        <f>M22</f>
        <v>0</v>
      </c>
      <c r="P22" s="361">
        <f>M22</f>
        <v>0</v>
      </c>
      <c r="Q22" s="360">
        <f>M22</f>
        <v>0</v>
      </c>
      <c r="R22" s="362">
        <f>M22</f>
        <v>0</v>
      </c>
      <c r="T22" s="109"/>
      <c r="U22" s="109"/>
    </row>
    <row r="23" spans="1:21" s="204" customFormat="1" ht="14" customHeight="1" thickTop="1" thickBot="1" x14ac:dyDescent="0.2">
      <c r="A23" s="345" t="s">
        <v>665</v>
      </c>
      <c r="B23" s="285"/>
      <c r="C23" s="285"/>
      <c r="D23" s="285"/>
      <c r="E23" s="285"/>
      <c r="F23" s="285"/>
      <c r="G23" s="285"/>
      <c r="H23" s="285"/>
      <c r="I23" s="285"/>
      <c r="J23" s="286"/>
      <c r="K23" s="287"/>
      <c r="L23" s="285"/>
      <c r="M23" s="322">
        <f t="shared" ref="M23:R23" si="3">-PMT(M20/12,M16,M15,-M22*M15)</f>
        <v>0</v>
      </c>
      <c r="N23" s="322">
        <f t="shared" si="3"/>
        <v>0</v>
      </c>
      <c r="O23" s="322">
        <f t="shared" si="3"/>
        <v>0</v>
      </c>
      <c r="P23" s="323">
        <f t="shared" si="3"/>
        <v>0</v>
      </c>
      <c r="Q23" s="323">
        <f t="shared" si="3"/>
        <v>0</v>
      </c>
      <c r="R23" s="324">
        <f t="shared" si="3"/>
        <v>0</v>
      </c>
      <c r="T23" s="109"/>
      <c r="U23" s="109"/>
    </row>
    <row r="24" spans="1:21" ht="14" customHeight="1" thickTop="1" x14ac:dyDescent="0.15">
      <c r="A24" s="333" t="s">
        <v>674</v>
      </c>
      <c r="B24" s="196"/>
      <c r="C24" s="196"/>
      <c r="D24" s="196"/>
      <c r="E24" s="196"/>
      <c r="F24" s="196"/>
      <c r="G24" s="196"/>
      <c r="H24" s="196"/>
      <c r="I24" s="196"/>
      <c r="J24" s="196"/>
      <c r="K24" s="197"/>
      <c r="L24" s="197"/>
      <c r="M24" s="363"/>
      <c r="N24" s="363"/>
      <c r="O24" s="363"/>
      <c r="P24" s="363"/>
      <c r="Q24" s="363"/>
      <c r="R24" s="363"/>
    </row>
    <row r="25" spans="1:21" ht="14" customHeight="1" x14ac:dyDescent="0.15">
      <c r="A25" s="333" t="s">
        <v>673</v>
      </c>
      <c r="B25" s="196"/>
      <c r="C25" s="196"/>
      <c r="D25" s="196"/>
      <c r="E25" s="196"/>
      <c r="F25" s="196"/>
      <c r="G25" s="196"/>
      <c r="H25" s="196"/>
      <c r="I25" s="196"/>
      <c r="J25" s="196"/>
      <c r="K25" s="197"/>
      <c r="L25" s="197"/>
      <c r="M25" s="363"/>
      <c r="N25" s="363"/>
      <c r="O25" s="363"/>
      <c r="P25" s="363"/>
      <c r="Q25" s="363"/>
      <c r="R25" s="363"/>
    </row>
    <row r="26" spans="1:21" ht="14" customHeight="1" x14ac:dyDescent="0.15">
      <c r="A26" s="109"/>
      <c r="B26" s="196"/>
      <c r="C26" s="196"/>
      <c r="D26" s="196"/>
      <c r="E26" s="196"/>
      <c r="F26" s="196"/>
      <c r="G26" s="196"/>
      <c r="H26" s="196"/>
      <c r="I26" s="196"/>
      <c r="J26" s="196"/>
      <c r="K26" s="197"/>
      <c r="L26" s="197"/>
    </row>
    <row r="27" spans="1:21" ht="31" hidden="1" customHeight="1" thickBot="1" x14ac:dyDescent="0.2">
      <c r="A27" s="1522" t="s">
        <v>476</v>
      </c>
      <c r="B27" s="1522"/>
      <c r="C27" s="1522"/>
      <c r="D27" s="1522"/>
      <c r="E27" s="1522"/>
      <c r="F27" s="1522"/>
      <c r="G27" s="1522"/>
      <c r="H27" s="1522"/>
      <c r="I27" s="1522"/>
      <c r="J27" s="1522"/>
      <c r="K27" s="1522"/>
      <c r="L27" s="1522"/>
      <c r="M27" s="1522"/>
      <c r="N27" s="1522"/>
      <c r="O27" s="1522"/>
      <c r="P27" s="1522"/>
      <c r="Q27" s="1522"/>
      <c r="R27" s="1522"/>
    </row>
    <row r="28" spans="1:21" s="145" customFormat="1" ht="14" hidden="1" customHeight="1" thickTop="1" thickBot="1" x14ac:dyDescent="0.2">
      <c r="A28" s="294" t="s">
        <v>238</v>
      </c>
      <c r="B28" s="291"/>
      <c r="C28" s="291"/>
      <c r="D28" s="291"/>
      <c r="E28" s="291"/>
      <c r="F28" s="291"/>
      <c r="G28" s="291"/>
      <c r="H28" s="291"/>
      <c r="I28" s="291"/>
      <c r="J28" s="292"/>
      <c r="K28" s="293"/>
      <c r="L28" s="291"/>
      <c r="M28" s="364">
        <v>0</v>
      </c>
      <c r="N28" s="365">
        <v>0</v>
      </c>
      <c r="O28" s="366">
        <v>0</v>
      </c>
      <c r="P28" s="366">
        <v>0</v>
      </c>
      <c r="Q28" s="365">
        <v>0</v>
      </c>
      <c r="R28" s="367">
        <v>0</v>
      </c>
    </row>
    <row r="29" spans="1:21" s="145" customFormat="1" ht="14" hidden="1" customHeight="1" thickTop="1" x14ac:dyDescent="0.15">
      <c r="A29" s="302" t="s">
        <v>241</v>
      </c>
      <c r="B29" s="193"/>
      <c r="C29" s="193"/>
      <c r="D29" s="193"/>
      <c r="E29" s="193"/>
      <c r="F29" s="193"/>
      <c r="G29" s="193"/>
      <c r="H29" s="193"/>
      <c r="I29" s="193"/>
      <c r="J29" s="194"/>
      <c r="K29" s="193"/>
      <c r="L29" s="193"/>
      <c r="M29" s="368">
        <f t="shared" ref="M29:R29" si="4">M6*M28</f>
        <v>0</v>
      </c>
      <c r="N29" s="369">
        <f t="shared" si="4"/>
        <v>0</v>
      </c>
      <c r="O29" s="369">
        <f t="shared" si="4"/>
        <v>0</v>
      </c>
      <c r="P29" s="370">
        <f t="shared" si="4"/>
        <v>0</v>
      </c>
      <c r="Q29" s="369">
        <f t="shared" si="4"/>
        <v>0</v>
      </c>
      <c r="R29" s="371">
        <f t="shared" si="4"/>
        <v>0</v>
      </c>
      <c r="S29" s="325"/>
      <c r="T29" s="330"/>
      <c r="U29" s="303" t="str">
        <f>"@Daniel, if all entries are zero, hide rows marked with a red filling."</f>
        <v>@Daniel, if all entries are zero, hide rows marked with a red filling.</v>
      </c>
    </row>
    <row r="30" spans="1:21" s="145" customFormat="1" ht="14" hidden="1" customHeight="1" x14ac:dyDescent="0.15">
      <c r="A30" s="302" t="s">
        <v>247</v>
      </c>
      <c r="B30" s="193"/>
      <c r="C30" s="193"/>
      <c r="D30" s="193"/>
      <c r="E30" s="193"/>
      <c r="F30" s="193"/>
      <c r="G30" s="193"/>
      <c r="H30" s="193"/>
      <c r="I30" s="193"/>
      <c r="J30" s="194"/>
      <c r="K30" s="193"/>
      <c r="L30" s="193"/>
      <c r="M30" s="647">
        <v>0</v>
      </c>
      <c r="N30" s="648">
        <v>0</v>
      </c>
      <c r="O30" s="649">
        <v>0</v>
      </c>
      <c r="P30" s="649">
        <v>0</v>
      </c>
      <c r="Q30" s="648">
        <v>0</v>
      </c>
      <c r="R30" s="650">
        <v>0</v>
      </c>
      <c r="T30" s="331"/>
    </row>
    <row r="31" spans="1:21" s="145" customFormat="1" ht="14" hidden="1" customHeight="1" x14ac:dyDescent="0.15">
      <c r="A31" s="302" t="s">
        <v>248</v>
      </c>
      <c r="B31" s="193"/>
      <c r="C31" s="193"/>
      <c r="D31" s="193"/>
      <c r="E31" s="193"/>
      <c r="F31" s="193"/>
      <c r="G31" s="193"/>
      <c r="H31" s="193"/>
      <c r="I31" s="193"/>
      <c r="J31" s="194"/>
      <c r="K31" s="193"/>
      <c r="L31" s="193"/>
      <c r="M31" s="368">
        <f t="shared" ref="M31:R31" si="5">M29*M30</f>
        <v>0</v>
      </c>
      <c r="N31" s="369">
        <f t="shared" si="5"/>
        <v>0</v>
      </c>
      <c r="O31" s="369">
        <f t="shared" si="5"/>
        <v>0</v>
      </c>
      <c r="P31" s="372">
        <f t="shared" si="5"/>
        <v>0</v>
      </c>
      <c r="Q31" s="372">
        <f t="shared" si="5"/>
        <v>0</v>
      </c>
      <c r="R31" s="371">
        <f t="shared" si="5"/>
        <v>0</v>
      </c>
      <c r="T31" s="330"/>
    </row>
    <row r="32" spans="1:21" s="145" customFormat="1" ht="14" hidden="1" customHeight="1" x14ac:dyDescent="0.15">
      <c r="A32" s="302" t="s">
        <v>189</v>
      </c>
      <c r="B32" s="193"/>
      <c r="C32" s="193"/>
      <c r="D32" s="193"/>
      <c r="E32" s="193"/>
      <c r="F32" s="193"/>
      <c r="G32" s="193"/>
      <c r="H32" s="193"/>
      <c r="I32" s="193"/>
      <c r="J32" s="194"/>
      <c r="K32" s="193"/>
      <c r="L32" s="193"/>
      <c r="M32" s="651">
        <v>0</v>
      </c>
      <c r="N32" s="645">
        <v>0</v>
      </c>
      <c r="O32" s="646">
        <v>0</v>
      </c>
      <c r="P32" s="646">
        <v>0</v>
      </c>
      <c r="Q32" s="645">
        <v>0</v>
      </c>
      <c r="R32" s="652">
        <v>0</v>
      </c>
      <c r="T32" s="331"/>
    </row>
    <row r="33" spans="1:20" s="145" customFormat="1" ht="14" hidden="1" customHeight="1" x14ac:dyDescent="0.15">
      <c r="A33" s="304" t="s">
        <v>249</v>
      </c>
      <c r="B33" s="195"/>
      <c r="C33" s="195"/>
      <c r="D33" s="195"/>
      <c r="E33" s="195"/>
      <c r="F33" s="195"/>
      <c r="G33" s="195"/>
      <c r="H33" s="195"/>
      <c r="I33" s="195"/>
      <c r="J33" s="305"/>
      <c r="K33" s="195"/>
      <c r="L33" s="195"/>
      <c r="M33" s="373">
        <f t="shared" ref="M33:R33" si="6">M29-M31-M32</f>
        <v>0</v>
      </c>
      <c r="N33" s="374">
        <f t="shared" si="6"/>
        <v>0</v>
      </c>
      <c r="O33" s="374">
        <f t="shared" si="6"/>
        <v>0</v>
      </c>
      <c r="P33" s="375">
        <f t="shared" si="6"/>
        <v>0</v>
      </c>
      <c r="Q33" s="375">
        <f t="shared" si="6"/>
        <v>0</v>
      </c>
      <c r="R33" s="376">
        <f t="shared" si="6"/>
        <v>0</v>
      </c>
      <c r="S33" s="325"/>
      <c r="T33" s="330"/>
    </row>
    <row r="34" spans="1:20" s="145" customFormat="1" ht="14" hidden="1" customHeight="1" x14ac:dyDescent="0.15">
      <c r="A34" s="302" t="s">
        <v>244</v>
      </c>
      <c r="B34" s="198"/>
      <c r="C34" s="198"/>
      <c r="D34" s="198"/>
      <c r="E34" s="198"/>
      <c r="F34" s="198"/>
      <c r="G34" s="198"/>
      <c r="H34" s="198"/>
      <c r="I34" s="198"/>
      <c r="J34" s="199"/>
      <c r="K34" s="200"/>
      <c r="L34" s="198"/>
      <c r="M34" s="338">
        <v>240</v>
      </c>
      <c r="N34" s="334">
        <v>240</v>
      </c>
      <c r="O34" s="334">
        <v>240</v>
      </c>
      <c r="P34" s="334">
        <v>120</v>
      </c>
      <c r="Q34" s="334">
        <v>120</v>
      </c>
      <c r="R34" s="339">
        <v>120</v>
      </c>
      <c r="S34" s="325"/>
      <c r="T34" s="331"/>
    </row>
    <row r="35" spans="1:20" s="145" customFormat="1" ht="14" hidden="1" customHeight="1" x14ac:dyDescent="0.15">
      <c r="A35" s="302" t="s">
        <v>176</v>
      </c>
      <c r="B35" s="193"/>
      <c r="C35" s="193"/>
      <c r="D35" s="193"/>
      <c r="E35" s="193"/>
      <c r="F35" s="193"/>
      <c r="G35" s="193"/>
      <c r="H35" s="193"/>
      <c r="I35" s="193"/>
      <c r="J35" s="194"/>
      <c r="K35" s="195"/>
      <c r="L35" s="193"/>
      <c r="M35" s="377">
        <v>0.12</v>
      </c>
      <c r="N35" s="356">
        <v>0.12</v>
      </c>
      <c r="O35" s="356">
        <v>0.12</v>
      </c>
      <c r="P35" s="356">
        <v>0.12</v>
      </c>
      <c r="Q35" s="356">
        <v>0.12</v>
      </c>
      <c r="R35" s="378">
        <v>0.12</v>
      </c>
      <c r="S35" s="325"/>
      <c r="T35" s="330"/>
    </row>
    <row r="36" spans="1:20" s="145" customFormat="1" ht="14" hidden="1" customHeight="1" x14ac:dyDescent="0.15">
      <c r="A36" s="302" t="s">
        <v>177</v>
      </c>
      <c r="B36" s="193"/>
      <c r="C36" s="193"/>
      <c r="D36" s="193"/>
      <c r="E36" s="193"/>
      <c r="F36" s="193"/>
      <c r="G36" s="193"/>
      <c r="H36" s="193"/>
      <c r="I36" s="193"/>
      <c r="J36" s="194"/>
      <c r="K36" s="195"/>
      <c r="L36" s="193"/>
      <c r="M36" s="377">
        <v>0</v>
      </c>
      <c r="N36" s="356">
        <v>0</v>
      </c>
      <c r="O36" s="356">
        <v>0</v>
      </c>
      <c r="P36" s="356">
        <v>0</v>
      </c>
      <c r="Q36" s="356">
        <v>0</v>
      </c>
      <c r="R36" s="378">
        <v>0</v>
      </c>
      <c r="S36" s="325"/>
      <c r="T36" s="332"/>
    </row>
    <row r="37" spans="1:20" s="145" customFormat="1" ht="14" hidden="1" customHeight="1" thickBot="1" x14ac:dyDescent="0.2">
      <c r="A37" s="302" t="s">
        <v>178</v>
      </c>
      <c r="B37" s="193"/>
      <c r="C37" s="193"/>
      <c r="D37" s="193"/>
      <c r="E37" s="193"/>
      <c r="F37" s="193"/>
      <c r="G37" s="193"/>
      <c r="H37" s="193"/>
      <c r="I37" s="193"/>
      <c r="J37" s="194"/>
      <c r="K37" s="195"/>
      <c r="L37" s="193"/>
      <c r="M37" s="379">
        <f t="shared" ref="M37:R37" si="7">M35-M36</f>
        <v>0.12</v>
      </c>
      <c r="N37" s="380">
        <f t="shared" si="7"/>
        <v>0.12</v>
      </c>
      <c r="O37" s="380">
        <f t="shared" si="7"/>
        <v>0.12</v>
      </c>
      <c r="P37" s="381">
        <f t="shared" si="7"/>
        <v>0.12</v>
      </c>
      <c r="Q37" s="381">
        <f t="shared" si="7"/>
        <v>0.12</v>
      </c>
      <c r="R37" s="382">
        <f t="shared" si="7"/>
        <v>0.12</v>
      </c>
      <c r="S37" s="325"/>
      <c r="T37" s="332"/>
    </row>
    <row r="38" spans="1:20" s="204" customFormat="1" ht="14" hidden="1" customHeight="1" thickTop="1" thickBot="1" x14ac:dyDescent="0.2">
      <c r="A38" s="295" t="s">
        <v>245</v>
      </c>
      <c r="B38" s="296"/>
      <c r="C38" s="296"/>
      <c r="D38" s="296"/>
      <c r="E38" s="296"/>
      <c r="F38" s="296"/>
      <c r="G38" s="296"/>
      <c r="H38" s="296"/>
      <c r="I38" s="296"/>
      <c r="J38" s="297"/>
      <c r="K38" s="298"/>
      <c r="L38" s="296"/>
      <c r="M38" s="329">
        <f t="shared" ref="M38:R38" si="8">-PMT(M35/12,M34,M33)</f>
        <v>0</v>
      </c>
      <c r="N38" s="320">
        <f t="shared" si="8"/>
        <v>0</v>
      </c>
      <c r="O38" s="320">
        <f t="shared" si="8"/>
        <v>0</v>
      </c>
      <c r="P38" s="349">
        <f t="shared" si="8"/>
        <v>0</v>
      </c>
      <c r="Q38" s="320">
        <f t="shared" si="8"/>
        <v>0</v>
      </c>
      <c r="R38" s="321">
        <f t="shared" si="8"/>
        <v>0</v>
      </c>
      <c r="S38" s="327"/>
      <c r="T38" s="332"/>
    </row>
    <row r="39" spans="1:20" ht="14" hidden="1" customHeight="1" thickTop="1" x14ac:dyDescent="0.15">
      <c r="A39" s="328" t="s">
        <v>251</v>
      </c>
      <c r="B39" s="196"/>
      <c r="C39" s="196"/>
      <c r="D39" s="196"/>
      <c r="E39" s="196"/>
      <c r="F39" s="196"/>
      <c r="G39" s="196"/>
      <c r="H39" s="196"/>
      <c r="I39" s="196"/>
      <c r="J39" s="196"/>
      <c r="K39" s="197"/>
      <c r="L39" s="197"/>
      <c r="M39" s="363"/>
      <c r="N39" s="363"/>
      <c r="O39" s="363"/>
      <c r="P39" s="363"/>
      <c r="Q39" s="363"/>
      <c r="R39" s="363"/>
      <c r="S39" s="326"/>
      <c r="T39" s="332"/>
    </row>
    <row r="40" spans="1:20" ht="14" hidden="1" customHeight="1" x14ac:dyDescent="0.15">
      <c r="A40" s="328" t="s">
        <v>252</v>
      </c>
      <c r="B40" s="196"/>
      <c r="C40" s="196"/>
      <c r="D40" s="196"/>
      <c r="E40" s="196"/>
      <c r="F40" s="196"/>
      <c r="G40" s="196"/>
      <c r="H40" s="196"/>
      <c r="I40" s="196"/>
      <c r="J40" s="196"/>
      <c r="K40" s="197"/>
      <c r="L40" s="197"/>
      <c r="M40" s="363"/>
      <c r="N40" s="363"/>
      <c r="O40" s="363"/>
      <c r="P40" s="363"/>
      <c r="Q40" s="363"/>
      <c r="R40" s="363"/>
      <c r="S40" s="326"/>
      <c r="T40" s="332"/>
    </row>
    <row r="41" spans="1:20" ht="14" hidden="1" customHeight="1" x14ac:dyDescent="0.15">
      <c r="A41" s="179"/>
      <c r="B41" s="196"/>
      <c r="C41" s="196"/>
      <c r="D41" s="196"/>
      <c r="E41" s="196"/>
      <c r="F41" s="196"/>
      <c r="G41" s="196"/>
      <c r="H41" s="196"/>
      <c r="I41" s="196"/>
      <c r="J41" s="196"/>
      <c r="K41" s="197"/>
      <c r="L41" s="197"/>
      <c r="M41" s="363"/>
      <c r="N41" s="363"/>
      <c r="O41" s="363"/>
      <c r="P41" s="363"/>
      <c r="Q41" s="363"/>
      <c r="R41" s="363"/>
      <c r="S41" s="326"/>
    </row>
    <row r="42" spans="1:20" ht="39" customHeight="1" thickBot="1" x14ac:dyDescent="0.2">
      <c r="A42" s="1523" t="s">
        <v>614</v>
      </c>
      <c r="B42" s="1522"/>
      <c r="C42" s="1522"/>
      <c r="D42" s="1522"/>
      <c r="E42" s="1522"/>
      <c r="F42" s="1522"/>
      <c r="G42" s="1522"/>
      <c r="H42" s="1522"/>
      <c r="I42" s="1522"/>
      <c r="J42" s="1522"/>
      <c r="K42" s="1522"/>
      <c r="L42" s="1522"/>
      <c r="M42" s="1522"/>
      <c r="N42" s="1522"/>
      <c r="O42" s="1522"/>
      <c r="P42" s="1522"/>
      <c r="Q42" s="1522"/>
      <c r="R42" s="1522"/>
    </row>
    <row r="43" spans="1:20" s="145" customFormat="1" ht="14" customHeight="1" thickTop="1" thickBot="1" x14ac:dyDescent="0.2">
      <c r="A43" s="312" t="s">
        <v>239</v>
      </c>
      <c r="B43" s="313"/>
      <c r="C43" s="313"/>
      <c r="D43" s="313"/>
      <c r="E43" s="313"/>
      <c r="F43" s="313"/>
      <c r="G43" s="313"/>
      <c r="H43" s="313"/>
      <c r="I43" s="313"/>
      <c r="J43" s="314"/>
      <c r="K43" s="315"/>
      <c r="L43" s="313"/>
      <c r="M43" s="1183">
        <f>IF(M4=0,0,M8-M15-M29)</f>
        <v>0</v>
      </c>
      <c r="N43" s="1183">
        <f t="shared" ref="N43:R43" si="9">IF(N4=0,0,N8-N15-N29)</f>
        <v>0</v>
      </c>
      <c r="O43" s="1183">
        <f t="shared" si="9"/>
        <v>0</v>
      </c>
      <c r="P43" s="1183">
        <f t="shared" si="9"/>
        <v>0</v>
      </c>
      <c r="Q43" s="1183">
        <f t="shared" si="9"/>
        <v>0</v>
      </c>
      <c r="R43" s="1183">
        <f t="shared" si="9"/>
        <v>0</v>
      </c>
      <c r="S43" s="325"/>
    </row>
    <row r="44" spans="1:20" s="145" customFormat="1" ht="14" customHeight="1" thickTop="1" x14ac:dyDescent="0.15">
      <c r="A44" s="310" t="s">
        <v>247</v>
      </c>
      <c r="B44" s="193"/>
      <c r="C44" s="193"/>
      <c r="D44" s="193"/>
      <c r="E44" s="193"/>
      <c r="F44" s="193"/>
      <c r="G44" s="193"/>
      <c r="H44" s="193"/>
      <c r="I44" s="193"/>
      <c r="J44" s="194"/>
      <c r="K44" s="193"/>
      <c r="L44" s="193"/>
      <c r="M44" s="1184">
        <v>0.15</v>
      </c>
      <c r="N44" s="1185">
        <v>0.15</v>
      </c>
      <c r="O44" s="1186">
        <v>0.15</v>
      </c>
      <c r="P44" s="1186">
        <v>0.1</v>
      </c>
      <c r="Q44" s="1185">
        <v>0.1</v>
      </c>
      <c r="R44" s="1187">
        <v>0.1</v>
      </c>
    </row>
    <row r="45" spans="1:20" s="145" customFormat="1" ht="14" customHeight="1" x14ac:dyDescent="0.15">
      <c r="A45" s="310" t="s">
        <v>248</v>
      </c>
      <c r="B45" s="306"/>
      <c r="C45" s="306"/>
      <c r="D45" s="306"/>
      <c r="E45" s="306"/>
      <c r="F45" s="306"/>
      <c r="G45" s="306"/>
      <c r="H45" s="306"/>
      <c r="I45" s="306"/>
      <c r="J45" s="307"/>
      <c r="K45" s="306"/>
      <c r="L45" s="306"/>
      <c r="M45" s="1188">
        <f t="shared" ref="M45:R45" si="10">M43*M44</f>
        <v>0</v>
      </c>
      <c r="N45" s="1189">
        <f t="shared" si="10"/>
        <v>0</v>
      </c>
      <c r="O45" s="1189">
        <f t="shared" si="10"/>
        <v>0</v>
      </c>
      <c r="P45" s="1190">
        <f t="shared" si="10"/>
        <v>0</v>
      </c>
      <c r="Q45" s="1190">
        <f t="shared" si="10"/>
        <v>0</v>
      </c>
      <c r="R45" s="1191">
        <f t="shared" si="10"/>
        <v>0</v>
      </c>
    </row>
    <row r="46" spans="1:20" s="145" customFormat="1" ht="14" customHeight="1" x14ac:dyDescent="0.15">
      <c r="A46" s="388" t="s">
        <v>189</v>
      </c>
      <c r="B46" s="193"/>
      <c r="C46" s="193"/>
      <c r="D46" s="193"/>
      <c r="E46" s="193"/>
      <c r="F46" s="193"/>
      <c r="G46" s="193"/>
      <c r="H46" s="193"/>
      <c r="I46" s="193"/>
      <c r="J46" s="194"/>
      <c r="K46" s="193"/>
      <c r="L46" s="193"/>
      <c r="M46" s="1192">
        <v>2000</v>
      </c>
      <c r="N46" s="1193">
        <v>2000</v>
      </c>
      <c r="O46" s="1194">
        <v>2000</v>
      </c>
      <c r="P46" s="1194">
        <v>2000</v>
      </c>
      <c r="Q46" s="1193">
        <v>2000</v>
      </c>
      <c r="R46" s="1195">
        <v>2000</v>
      </c>
    </row>
    <row r="47" spans="1:20" s="145" customFormat="1" ht="14" customHeight="1" x14ac:dyDescent="0.15">
      <c r="A47" s="311" t="s">
        <v>249</v>
      </c>
      <c r="B47" s="308"/>
      <c r="C47" s="308"/>
      <c r="D47" s="308"/>
      <c r="E47" s="308"/>
      <c r="F47" s="308"/>
      <c r="G47" s="308"/>
      <c r="H47" s="308"/>
      <c r="I47" s="308"/>
      <c r="J47" s="309"/>
      <c r="K47" s="308"/>
      <c r="L47" s="308"/>
      <c r="M47" s="1196">
        <f t="shared" ref="M47:R47" si="11">M43-M45-M46</f>
        <v>-2000</v>
      </c>
      <c r="N47" s="1197">
        <f t="shared" si="11"/>
        <v>-2000</v>
      </c>
      <c r="O47" s="1197">
        <f t="shared" si="11"/>
        <v>-2000</v>
      </c>
      <c r="P47" s="1198">
        <f t="shared" si="11"/>
        <v>-2000</v>
      </c>
      <c r="Q47" s="1198">
        <f t="shared" si="11"/>
        <v>-2000</v>
      </c>
      <c r="R47" s="1199">
        <f t="shared" si="11"/>
        <v>-2000</v>
      </c>
      <c r="S47" s="325"/>
    </row>
    <row r="48" spans="1:20" s="145" customFormat="1" ht="14" customHeight="1" x14ac:dyDescent="0.15">
      <c r="A48" s="310" t="s">
        <v>244</v>
      </c>
      <c r="B48" s="198"/>
      <c r="C48" s="198"/>
      <c r="D48" s="198"/>
      <c r="E48" s="198"/>
      <c r="F48" s="198"/>
      <c r="G48" s="198"/>
      <c r="H48" s="198"/>
      <c r="I48" s="198"/>
      <c r="J48" s="199"/>
      <c r="K48" s="200"/>
      <c r="L48" s="198"/>
      <c r="M48" s="1200">
        <v>240</v>
      </c>
      <c r="N48" s="1201">
        <v>180</v>
      </c>
      <c r="O48" s="1201">
        <v>180</v>
      </c>
      <c r="P48" s="1201">
        <v>120</v>
      </c>
      <c r="Q48" s="1201">
        <v>120</v>
      </c>
      <c r="R48" s="1202">
        <v>120</v>
      </c>
      <c r="S48" s="325"/>
    </row>
    <row r="49" spans="1:20" s="145" customFormat="1" ht="14" customHeight="1" x14ac:dyDescent="0.15">
      <c r="A49" s="310" t="s">
        <v>176</v>
      </c>
      <c r="B49" s="193"/>
      <c r="C49" s="193"/>
      <c r="D49" s="193"/>
      <c r="E49" s="193"/>
      <c r="F49" s="193"/>
      <c r="G49" s="193"/>
      <c r="H49" s="193"/>
      <c r="I49" s="193"/>
      <c r="J49" s="194"/>
      <c r="K49" s="195"/>
      <c r="L49" s="193"/>
      <c r="M49" s="1203">
        <v>0.1</v>
      </c>
      <c r="N49" s="1204">
        <v>0.15</v>
      </c>
      <c r="O49" s="1204">
        <v>0.15</v>
      </c>
      <c r="P49" s="1204">
        <v>0.2</v>
      </c>
      <c r="Q49" s="1204">
        <v>0.2</v>
      </c>
      <c r="R49" s="1205">
        <v>0.25</v>
      </c>
      <c r="S49" s="325"/>
    </row>
    <row r="50" spans="1:20" s="145" customFormat="1" ht="14" customHeight="1" x14ac:dyDescent="0.15">
      <c r="A50" s="310" t="s">
        <v>177</v>
      </c>
      <c r="B50" s="193"/>
      <c r="C50" s="193"/>
      <c r="D50" s="193"/>
      <c r="E50" s="193"/>
      <c r="F50" s="193"/>
      <c r="G50" s="193"/>
      <c r="H50" s="193"/>
      <c r="I50" s="193"/>
      <c r="J50" s="194"/>
      <c r="K50" s="195"/>
      <c r="L50" s="193"/>
      <c r="M50" s="1203">
        <v>0</v>
      </c>
      <c r="N50" s="1204">
        <v>0</v>
      </c>
      <c r="O50" s="1204">
        <v>0</v>
      </c>
      <c r="P50" s="1204">
        <v>0</v>
      </c>
      <c r="Q50" s="1204">
        <v>0</v>
      </c>
      <c r="R50" s="1205">
        <v>0</v>
      </c>
      <c r="S50" s="325"/>
    </row>
    <row r="51" spans="1:20" s="145" customFormat="1" ht="14" customHeight="1" thickBot="1" x14ac:dyDescent="0.2">
      <c r="A51" s="310" t="s">
        <v>178</v>
      </c>
      <c r="B51" s="306"/>
      <c r="C51" s="306"/>
      <c r="D51" s="306"/>
      <c r="E51" s="306"/>
      <c r="F51" s="306"/>
      <c r="G51" s="306"/>
      <c r="H51" s="306"/>
      <c r="I51" s="306"/>
      <c r="J51" s="307"/>
      <c r="K51" s="308"/>
      <c r="L51" s="306"/>
      <c r="M51" s="1206">
        <f t="shared" ref="M51:R51" si="12">M49-M50</f>
        <v>0.1</v>
      </c>
      <c r="N51" s="1207">
        <f t="shared" si="12"/>
        <v>0.15</v>
      </c>
      <c r="O51" s="1207">
        <f t="shared" si="12"/>
        <v>0.15</v>
      </c>
      <c r="P51" s="1208">
        <f t="shared" si="12"/>
        <v>0.2</v>
      </c>
      <c r="Q51" s="1208">
        <f t="shared" si="12"/>
        <v>0.2</v>
      </c>
      <c r="R51" s="1209">
        <f t="shared" si="12"/>
        <v>0.25</v>
      </c>
      <c r="S51" s="325"/>
    </row>
    <row r="52" spans="1:20" s="204" customFormat="1" ht="14" customHeight="1" thickTop="1" thickBot="1" x14ac:dyDescent="0.2">
      <c r="A52" s="316" t="s">
        <v>245</v>
      </c>
      <c r="B52" s="317"/>
      <c r="C52" s="317"/>
      <c r="D52" s="317"/>
      <c r="E52" s="317"/>
      <c r="F52" s="317"/>
      <c r="G52" s="317"/>
      <c r="H52" s="317"/>
      <c r="I52" s="317"/>
      <c r="J52" s="318"/>
      <c r="K52" s="319"/>
      <c r="L52" s="317"/>
      <c r="M52" s="1210">
        <f t="shared" ref="M52:R52" si="13">IF(M4=0,0,-PMT(M51/12,M48,M47))</f>
        <v>0</v>
      </c>
      <c r="N52" s="1211">
        <f t="shared" si="13"/>
        <v>0</v>
      </c>
      <c r="O52" s="1211">
        <f t="shared" si="13"/>
        <v>0</v>
      </c>
      <c r="P52" s="1212">
        <f t="shared" si="13"/>
        <v>0</v>
      </c>
      <c r="Q52" s="1211">
        <f t="shared" si="13"/>
        <v>0</v>
      </c>
      <c r="R52" s="1213">
        <f t="shared" si="13"/>
        <v>0</v>
      </c>
      <c r="S52" s="327"/>
    </row>
    <row r="53" spans="1:20" s="145" customFormat="1" ht="14" customHeight="1" thickTop="1" x14ac:dyDescent="0.15">
      <c r="A53" s="328" t="s">
        <v>250</v>
      </c>
      <c r="B53" s="193"/>
      <c r="C53" s="193"/>
      <c r="D53" s="193"/>
      <c r="E53" s="193"/>
      <c r="F53" s="193"/>
      <c r="G53" s="193"/>
      <c r="H53" s="193"/>
      <c r="I53" s="193"/>
      <c r="J53" s="194"/>
      <c r="K53" s="195"/>
      <c r="L53" s="193"/>
      <c r="M53" s="1214"/>
      <c r="N53" s="1215"/>
      <c r="O53" s="1215"/>
      <c r="P53" s="1215"/>
      <c r="Q53" s="1215"/>
      <c r="R53" s="1215"/>
    </row>
    <row r="54" spans="1:20" s="145" customFormat="1" ht="14" customHeight="1" x14ac:dyDescent="0.15">
      <c r="A54" s="328" t="s">
        <v>253</v>
      </c>
      <c r="B54" s="193"/>
      <c r="C54" s="193"/>
      <c r="D54" s="193"/>
      <c r="E54" s="193"/>
      <c r="F54" s="193"/>
      <c r="G54" s="193"/>
      <c r="H54" s="193"/>
      <c r="I54" s="193"/>
      <c r="J54" s="194"/>
      <c r="K54" s="195"/>
      <c r="L54" s="193"/>
      <c r="M54" s="1214"/>
      <c r="N54" s="1215"/>
      <c r="O54" s="1215"/>
      <c r="P54" s="1215"/>
      <c r="Q54" s="1215"/>
      <c r="R54" s="1215"/>
    </row>
    <row r="55" spans="1:20" ht="14" customHeight="1" x14ac:dyDescent="0.15">
      <c r="A55" s="179"/>
      <c r="B55" s="196"/>
      <c r="C55" s="196"/>
      <c r="D55" s="196"/>
      <c r="E55" s="196"/>
      <c r="F55" s="196"/>
      <c r="G55" s="196"/>
      <c r="H55" s="196"/>
      <c r="I55" s="196"/>
      <c r="J55" s="196"/>
      <c r="K55" s="197"/>
      <c r="L55" s="197"/>
      <c r="M55" s="363"/>
      <c r="N55" s="363"/>
      <c r="O55" s="363"/>
      <c r="P55" s="363"/>
      <c r="Q55" s="363"/>
      <c r="R55" s="363"/>
      <c r="T55" s="326"/>
    </row>
    <row r="56" spans="1:20" s="145" customFormat="1" ht="14" customHeight="1" thickBot="1" x14ac:dyDescent="0.2">
      <c r="A56" s="846" t="s">
        <v>477</v>
      </c>
      <c r="B56" s="193"/>
      <c r="C56" s="193"/>
      <c r="D56" s="193"/>
      <c r="E56" s="193"/>
      <c r="F56" s="193"/>
      <c r="G56" s="193"/>
      <c r="H56" s="193"/>
      <c r="I56" s="193"/>
      <c r="J56" s="194"/>
      <c r="K56" s="195"/>
      <c r="L56" s="193"/>
      <c r="M56" s="1214"/>
      <c r="N56" s="1215"/>
      <c r="O56" s="1215"/>
      <c r="P56" s="1215"/>
      <c r="Q56" s="1215"/>
      <c r="R56" s="1215"/>
    </row>
    <row r="57" spans="1:20" s="204" customFormat="1" ht="14" customHeight="1" thickTop="1" thickBot="1" x14ac:dyDescent="0.2">
      <c r="A57" s="1340" t="s">
        <v>543</v>
      </c>
      <c r="B57" s="1341"/>
      <c r="C57" s="1341"/>
      <c r="D57" s="1341"/>
      <c r="E57" s="1341"/>
      <c r="F57" s="1341"/>
      <c r="G57" s="1341"/>
      <c r="H57" s="1341"/>
      <c r="I57" s="1341"/>
      <c r="J57" s="1342"/>
      <c r="K57" s="1343"/>
      <c r="L57" s="1341"/>
      <c r="M57" s="1370">
        <f t="shared" ref="M57:R57" si="14">M23</f>
        <v>0</v>
      </c>
      <c r="N57" s="1371">
        <f t="shared" si="14"/>
        <v>0</v>
      </c>
      <c r="O57" s="1371">
        <f t="shared" si="14"/>
        <v>0</v>
      </c>
      <c r="P57" s="1372">
        <f t="shared" si="14"/>
        <v>0</v>
      </c>
      <c r="Q57" s="1372">
        <f t="shared" si="14"/>
        <v>0</v>
      </c>
      <c r="R57" s="1373">
        <f t="shared" si="14"/>
        <v>0</v>
      </c>
      <c r="T57" s="145"/>
    </row>
    <row r="58" spans="1:20" s="204" customFormat="1" ht="14" hidden="1" customHeight="1" x14ac:dyDescent="0.15">
      <c r="A58" s="1344" t="s">
        <v>256</v>
      </c>
      <c r="B58" s="1345"/>
      <c r="C58" s="1345"/>
      <c r="D58" s="1345"/>
      <c r="E58" s="1345"/>
      <c r="F58" s="1345"/>
      <c r="G58" s="1345"/>
      <c r="H58" s="1345"/>
      <c r="I58" s="1345"/>
      <c r="J58" s="1346"/>
      <c r="K58" s="1345"/>
      <c r="L58" s="1345"/>
      <c r="M58" s="1347">
        <f t="shared" ref="M58:R58" si="15">M38</f>
        <v>0</v>
      </c>
      <c r="N58" s="1347">
        <f t="shared" si="15"/>
        <v>0</v>
      </c>
      <c r="O58" s="1347">
        <f t="shared" si="15"/>
        <v>0</v>
      </c>
      <c r="P58" s="1348">
        <f t="shared" si="15"/>
        <v>0</v>
      </c>
      <c r="Q58" s="1347">
        <f t="shared" si="15"/>
        <v>0</v>
      </c>
      <c r="R58" s="1347">
        <f t="shared" si="15"/>
        <v>0</v>
      </c>
      <c r="S58" s="327"/>
    </row>
    <row r="59" spans="1:20" s="204" customFormat="1" ht="14" customHeight="1" thickTop="1" thickBot="1" x14ac:dyDescent="0.2">
      <c r="A59" s="1349" t="s">
        <v>544</v>
      </c>
      <c r="B59" s="1350"/>
      <c r="C59" s="1350"/>
      <c r="D59" s="1350"/>
      <c r="E59" s="1350"/>
      <c r="F59" s="1350"/>
      <c r="G59" s="1350"/>
      <c r="H59" s="1350"/>
      <c r="I59" s="1350"/>
      <c r="J59" s="1351"/>
      <c r="K59" s="1352"/>
      <c r="L59" s="1350"/>
      <c r="M59" s="1353">
        <f t="shared" ref="M59:R59" si="16">M52</f>
        <v>0</v>
      </c>
      <c r="N59" s="1354">
        <f t="shared" si="16"/>
        <v>0</v>
      </c>
      <c r="O59" s="1354">
        <f t="shared" si="16"/>
        <v>0</v>
      </c>
      <c r="P59" s="1355">
        <f t="shared" si="16"/>
        <v>0</v>
      </c>
      <c r="Q59" s="1354">
        <f t="shared" si="16"/>
        <v>0</v>
      </c>
      <c r="R59" s="1356">
        <f t="shared" si="16"/>
        <v>0</v>
      </c>
      <c r="S59" s="327"/>
    </row>
    <row r="60" spans="1:20" s="204" customFormat="1" ht="14" customHeight="1" thickTop="1" thickBot="1" x14ac:dyDescent="0.2">
      <c r="A60" s="1357" t="s">
        <v>469</v>
      </c>
      <c r="B60" s="1358"/>
      <c r="C60" s="1358"/>
      <c r="D60" s="1358"/>
      <c r="E60" s="1358"/>
      <c r="F60" s="1358"/>
      <c r="G60" s="1358"/>
      <c r="H60" s="1358"/>
      <c r="I60" s="1358"/>
      <c r="J60" s="1359"/>
      <c r="K60" s="1360"/>
      <c r="L60" s="1358"/>
      <c r="M60" s="1361">
        <f t="shared" ref="M60:R60" si="17">M23+M38+M52</f>
        <v>0</v>
      </c>
      <c r="N60" s="1361">
        <f t="shared" si="17"/>
        <v>0</v>
      </c>
      <c r="O60" s="1361">
        <f t="shared" si="17"/>
        <v>0</v>
      </c>
      <c r="P60" s="1362">
        <f t="shared" si="17"/>
        <v>0</v>
      </c>
      <c r="Q60" s="1362">
        <f t="shared" si="17"/>
        <v>0</v>
      </c>
      <c r="R60" s="1363">
        <f t="shared" si="17"/>
        <v>0</v>
      </c>
    </row>
    <row r="61" spans="1:20" ht="14" customHeight="1" thickTop="1" x14ac:dyDescent="0.15"/>
    <row r="62" spans="1:20" s="204" customFormat="1" ht="14" customHeight="1" x14ac:dyDescent="0.15">
      <c r="A62" s="328" t="s">
        <v>257</v>
      </c>
      <c r="B62" s="201"/>
      <c r="C62" s="201"/>
      <c r="D62" s="201"/>
      <c r="E62" s="201"/>
      <c r="F62" s="201"/>
      <c r="G62" s="201"/>
      <c r="H62" s="201"/>
      <c r="I62" s="201"/>
      <c r="J62" s="202"/>
      <c r="K62" s="203"/>
      <c r="L62" s="201"/>
      <c r="M62" s="1074"/>
      <c r="N62" s="1074"/>
      <c r="O62" s="1074"/>
      <c r="P62" s="1074"/>
      <c r="Q62" s="1074"/>
      <c r="R62" s="1074"/>
    </row>
    <row r="63" spans="1:20" s="204" customFormat="1" ht="14" customHeight="1" x14ac:dyDescent="0.15">
      <c r="A63" s="144"/>
      <c r="B63" s="144"/>
      <c r="C63" s="144"/>
      <c r="D63" s="144"/>
      <c r="E63" s="144"/>
      <c r="F63" s="144"/>
      <c r="G63" s="144"/>
      <c r="H63" s="144"/>
      <c r="I63" s="144"/>
      <c r="J63" s="144"/>
      <c r="K63" s="144"/>
      <c r="L63" s="144"/>
      <c r="M63" s="1074"/>
      <c r="N63" s="1074"/>
      <c r="O63" s="1074"/>
      <c r="P63" s="1074"/>
      <c r="Q63" s="1074"/>
      <c r="R63" s="1074"/>
    </row>
    <row r="64" spans="1:20" ht="14" customHeight="1" x14ac:dyDescent="0.15">
      <c r="A64" s="328" t="s">
        <v>260</v>
      </c>
      <c r="B64" s="192"/>
      <c r="C64" s="192"/>
      <c r="D64" s="192"/>
      <c r="E64" s="192"/>
      <c r="F64" s="192"/>
      <c r="G64" s="192"/>
      <c r="H64" s="192"/>
      <c r="I64" s="192"/>
      <c r="J64" s="192"/>
      <c r="K64" s="191"/>
      <c r="L64" s="191"/>
      <c r="M64" s="396"/>
      <c r="N64" s="396"/>
      <c r="O64" s="396"/>
      <c r="P64" s="396"/>
      <c r="Q64" s="396"/>
      <c r="R64" s="397"/>
    </row>
    <row r="65" spans="1:18" ht="14" customHeight="1" x14ac:dyDescent="0.15">
      <c r="A65" s="328" t="s">
        <v>258</v>
      </c>
      <c r="B65" s="192"/>
      <c r="C65" s="192"/>
      <c r="D65" s="192"/>
      <c r="E65" s="192"/>
      <c r="F65" s="192"/>
      <c r="G65" s="192"/>
      <c r="H65" s="192"/>
      <c r="I65" s="192"/>
      <c r="J65" s="192"/>
      <c r="K65" s="191"/>
      <c r="L65" s="191"/>
      <c r="M65" s="396"/>
      <c r="N65" s="396"/>
      <c r="O65" s="396"/>
      <c r="P65" s="396"/>
      <c r="Q65" s="396"/>
      <c r="R65" s="396"/>
    </row>
    <row r="66" spans="1:18" ht="14" customHeight="1" x14ac:dyDescent="0.15">
      <c r="A66" s="328" t="s">
        <v>259</v>
      </c>
      <c r="B66" s="192"/>
      <c r="C66" s="192"/>
      <c r="D66" s="192"/>
      <c r="E66" s="192"/>
      <c r="F66" s="192"/>
      <c r="G66" s="192"/>
      <c r="H66" s="192"/>
      <c r="I66" s="192"/>
      <c r="J66" s="192"/>
      <c r="K66" s="191"/>
      <c r="L66" s="191"/>
      <c r="M66" s="396"/>
      <c r="N66" s="396"/>
      <c r="O66" s="396"/>
      <c r="P66" s="396"/>
      <c r="Q66" s="396"/>
      <c r="R66" s="396"/>
    </row>
    <row r="67" spans="1:18" ht="14" customHeight="1" x14ac:dyDescent="0.15">
      <c r="A67" s="328" t="s">
        <v>263</v>
      </c>
      <c r="B67" s="192"/>
      <c r="C67" s="192"/>
      <c r="D67" s="192"/>
      <c r="E67" s="192"/>
      <c r="F67" s="192"/>
      <c r="G67" s="192"/>
      <c r="H67" s="192"/>
      <c r="I67" s="192"/>
      <c r="J67" s="192"/>
      <c r="K67" s="191"/>
      <c r="L67" s="191"/>
      <c r="M67" s="396"/>
      <c r="N67" s="396"/>
      <c r="O67" s="396"/>
      <c r="P67" s="396"/>
      <c r="Q67" s="396"/>
      <c r="R67" s="396"/>
    </row>
    <row r="68" spans="1:18" ht="14" customHeight="1" x14ac:dyDescent="0.15">
      <c r="A68" s="328" t="s">
        <v>264</v>
      </c>
      <c r="B68" s="192"/>
      <c r="C68" s="192"/>
      <c r="D68" s="192"/>
      <c r="E68" s="192"/>
      <c r="F68" s="192"/>
      <c r="G68" s="192"/>
      <c r="H68" s="192"/>
      <c r="I68" s="192"/>
      <c r="J68" s="192"/>
      <c r="K68" s="191"/>
      <c r="L68" s="191"/>
      <c r="M68" s="191"/>
      <c r="N68" s="191"/>
      <c r="O68" s="191"/>
      <c r="P68" s="191"/>
      <c r="Q68" s="191"/>
      <c r="R68" s="191"/>
    </row>
    <row r="69" spans="1:18" ht="14" customHeight="1" x14ac:dyDescent="0.15">
      <c r="A69" s="395"/>
      <c r="B69" s="192"/>
      <c r="C69" s="192"/>
      <c r="D69" s="192"/>
      <c r="E69" s="192"/>
      <c r="F69" s="192"/>
      <c r="G69" s="192"/>
      <c r="H69" s="192"/>
      <c r="I69" s="192"/>
      <c r="J69" s="192"/>
      <c r="K69" s="191"/>
      <c r="L69" s="191"/>
      <c r="M69" s="191"/>
      <c r="N69" s="191"/>
      <c r="O69" s="191"/>
      <c r="P69" s="191"/>
      <c r="Q69" s="191"/>
      <c r="R69" s="191"/>
    </row>
    <row r="70" spans="1:18" ht="14" customHeight="1" x14ac:dyDescent="0.15">
      <c r="A70" s="395"/>
      <c r="B70" s="192"/>
      <c r="C70" s="192"/>
      <c r="D70" s="192"/>
      <c r="E70" s="192"/>
      <c r="F70" s="192"/>
      <c r="G70" s="192"/>
      <c r="H70" s="192"/>
      <c r="I70" s="192"/>
      <c r="J70" s="192"/>
      <c r="K70" s="191"/>
      <c r="L70" s="191"/>
      <c r="M70" s="191"/>
      <c r="N70" s="191"/>
      <c r="O70" s="191"/>
      <c r="P70" s="191"/>
      <c r="Q70" s="191"/>
      <c r="R70" s="191"/>
    </row>
    <row r="71" spans="1:18" ht="14" customHeight="1" x14ac:dyDescent="0.15">
      <c r="A71" s="395"/>
      <c r="B71" s="192"/>
      <c r="C71" s="192"/>
      <c r="D71" s="192"/>
      <c r="E71" s="192"/>
      <c r="F71" s="192"/>
      <c r="G71" s="192"/>
      <c r="H71" s="192"/>
      <c r="I71" s="192"/>
      <c r="J71" s="192"/>
      <c r="K71" s="191"/>
      <c r="L71" s="191"/>
      <c r="M71" s="191"/>
      <c r="N71" s="191"/>
      <c r="O71" s="191"/>
      <c r="P71" s="191"/>
      <c r="Q71" s="191"/>
      <c r="R71" s="191"/>
    </row>
  </sheetData>
  <sheetProtection selectLockedCells="1"/>
  <mergeCells count="5">
    <mergeCell ref="A13:R13"/>
    <mergeCell ref="A27:R27"/>
    <mergeCell ref="A42:R42"/>
    <mergeCell ref="A18:R18"/>
    <mergeCell ref="A21:R21"/>
  </mergeCells>
  <pageMargins left="0.7" right="0.7" top="0.75" bottom="0.75" header="0.3" footer="0.3"/>
  <pageSetup paperSize="9" scale="82" fitToHeight="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ED74C-8845-794B-9EDA-60B0AA643F8E}">
  <sheetPr>
    <tabColor theme="6" tint="-0.249977111117893"/>
    <pageSetUpPr fitToPage="1"/>
  </sheetPr>
  <dimension ref="A1:R32"/>
  <sheetViews>
    <sheetView zoomScale="200" zoomScaleNormal="200" workbookViewId="0">
      <selection activeCell="B43" sqref="B43"/>
    </sheetView>
  </sheetViews>
  <sheetFormatPr baseColWidth="10" defaultColWidth="10.6640625" defaultRowHeight="14" customHeight="1" x14ac:dyDescent="0.15"/>
  <cols>
    <col min="1" max="1" width="42.6640625" style="110" customWidth="1"/>
    <col min="2" max="10" width="9.33203125" style="108" hidden="1" customWidth="1"/>
    <col min="11" max="12" width="9.33203125" style="109" hidden="1" customWidth="1"/>
    <col min="13" max="18" width="14.5" style="109" customWidth="1"/>
    <col min="19" max="19" width="10.6640625" style="109" customWidth="1"/>
    <col min="20" max="16384" width="10.6640625" style="109"/>
  </cols>
  <sheetData>
    <row r="1" spans="1:18" s="107" customFormat="1" ht="14" customHeight="1" x14ac:dyDescent="0.15">
      <c r="A1" s="105" t="s">
        <v>668</v>
      </c>
      <c r="B1" s="106"/>
      <c r="C1" s="106"/>
      <c r="D1" s="106"/>
      <c r="E1" s="106"/>
      <c r="F1" s="106"/>
      <c r="G1" s="106"/>
      <c r="H1" s="106"/>
      <c r="I1" s="106"/>
      <c r="J1" s="106"/>
    </row>
    <row r="2" spans="1:18" ht="42" customHeight="1" thickBot="1" x14ac:dyDescent="0.2">
      <c r="A2" s="471" t="s">
        <v>379</v>
      </c>
      <c r="B2" s="403" t="s">
        <v>143</v>
      </c>
      <c r="C2" s="404" t="s">
        <v>144</v>
      </c>
      <c r="D2" s="405" t="s">
        <v>145</v>
      </c>
      <c r="E2" s="935" t="s">
        <v>146</v>
      </c>
      <c r="F2" s="935" t="s">
        <v>628</v>
      </c>
      <c r="G2" s="470" t="s">
        <v>630</v>
      </c>
      <c r="H2" s="406" t="s">
        <v>147</v>
      </c>
      <c r="I2" s="407" t="s">
        <v>148</v>
      </c>
      <c r="J2" s="408" t="s">
        <v>16</v>
      </c>
      <c r="K2" s="408" t="s">
        <v>627</v>
      </c>
      <c r="L2" s="470" t="s">
        <v>631</v>
      </c>
      <c r="M2" s="409" t="s">
        <v>625</v>
      </c>
      <c r="N2" s="410" t="s">
        <v>475</v>
      </c>
      <c r="O2" s="410" t="s">
        <v>626</v>
      </c>
      <c r="P2" s="508" t="s">
        <v>629</v>
      </c>
      <c r="Q2" s="411" t="s">
        <v>623</v>
      </c>
      <c r="R2" s="1411" t="s">
        <v>624</v>
      </c>
    </row>
    <row r="3" spans="1:18" s="146" customFormat="1" ht="14" customHeight="1" x14ac:dyDescent="0.15">
      <c r="A3" s="692" t="str">
        <f>'4buildings'!A20</f>
        <v>Starter type</v>
      </c>
      <c r="B3" s="195" t="str">
        <f>'4buildings'!B20</f>
        <v>lot only</v>
      </c>
      <c r="C3" s="195" t="str">
        <f>'4buildings'!C20</f>
        <v>lot only</v>
      </c>
      <c r="D3" s="195" t="str">
        <f>'4buildings'!D20</f>
        <v>lot only</v>
      </c>
      <c r="E3" s="195" t="str">
        <f>'4buildings'!E20</f>
        <v>mixed-use building</v>
      </c>
      <c r="F3" s="195" t="str">
        <f>'4buildings'!F20</f>
        <v>mixed-use building</v>
      </c>
      <c r="G3" s="195" t="str">
        <f>'4buildings'!G20</f>
        <v>lot only</v>
      </c>
      <c r="H3" s="195" t="str">
        <f>'4buildings'!H20</f>
        <v>lot only</v>
      </c>
      <c r="I3" s="195" t="str">
        <f>'4buildings'!I20</f>
        <v>lot only</v>
      </c>
      <c r="J3" s="305" t="str">
        <f>'4buildings'!J20</f>
        <v>mixed-use building</v>
      </c>
      <c r="K3" s="195" t="str">
        <f>'4buildings'!K20</f>
        <v>mixed-use building</v>
      </c>
      <c r="L3" s="195" t="str">
        <f>'4buildings'!L20</f>
        <v>lot only</v>
      </c>
      <c r="M3" s="900" t="str">
        <f>'4buildings'!M20</f>
        <v>apartments</v>
      </c>
      <c r="N3" s="900" t="str">
        <f>'4buildings'!N20</f>
        <v>shell</v>
      </c>
      <c r="O3" s="900" t="str">
        <f>'4buildings'!O20</f>
        <v>shell</v>
      </c>
      <c r="P3" s="901" t="str">
        <f>'4buildings'!P20</f>
        <v>core</v>
      </c>
      <c r="Q3" s="900" t="str">
        <f>'4buildings'!Q20</f>
        <v>core</v>
      </c>
      <c r="R3" s="900" t="str">
        <f>'4buildings'!R20</f>
        <v>roof</v>
      </c>
    </row>
    <row r="4" spans="1:18" s="145" customFormat="1" ht="14" customHeight="1" thickBot="1" x14ac:dyDescent="0.2">
      <c r="A4" s="694" t="str">
        <f>'5dwellings'!A11</f>
        <v>starter dwelling main units (owned), average gross area</v>
      </c>
      <c r="B4" s="390"/>
      <c r="C4" s="390"/>
      <c r="D4" s="390"/>
      <c r="E4" s="390"/>
      <c r="F4" s="390"/>
      <c r="G4" s="390"/>
      <c r="H4" s="390"/>
      <c r="I4" s="390"/>
      <c r="J4" s="390"/>
      <c r="K4" s="390"/>
      <c r="L4" s="390"/>
      <c r="M4" s="1228">
        <f>'5dwellings'!M11</f>
        <v>0</v>
      </c>
      <c r="N4" s="1228">
        <f>'5dwellings'!N11</f>
        <v>0</v>
      </c>
      <c r="O4" s="1228">
        <f>'5dwellings'!O11</f>
        <v>0</v>
      </c>
      <c r="P4" s="1229">
        <f>'5dwellings'!P11</f>
        <v>0</v>
      </c>
      <c r="Q4" s="1228">
        <f>'5dwellings'!Q11</f>
        <v>0</v>
      </c>
      <c r="R4" s="1228">
        <f>'5dwellings'!R11</f>
        <v>0</v>
      </c>
    </row>
    <row r="5" spans="1:18" s="204" customFormat="1" ht="14" customHeight="1" thickTop="1" thickBot="1" x14ac:dyDescent="0.2">
      <c r="A5" s="1357" t="s">
        <v>469</v>
      </c>
      <c r="B5" s="1358"/>
      <c r="C5" s="1358"/>
      <c r="D5" s="1358"/>
      <c r="E5" s="1358"/>
      <c r="F5" s="1358"/>
      <c r="G5" s="1358"/>
      <c r="H5" s="1358"/>
      <c r="I5" s="1358"/>
      <c r="J5" s="1359"/>
      <c r="K5" s="1360"/>
      <c r="L5" s="1358"/>
      <c r="M5" s="1361">
        <f>'5finance'!M60</f>
        <v>0</v>
      </c>
      <c r="N5" s="1361">
        <f>'5finance'!N60</f>
        <v>0</v>
      </c>
      <c r="O5" s="1361">
        <f>'5finance'!O60</f>
        <v>0</v>
      </c>
      <c r="P5" s="1362">
        <f>'5finance'!P60</f>
        <v>0</v>
      </c>
      <c r="Q5" s="1362">
        <f>'5finance'!Q60</f>
        <v>0</v>
      </c>
      <c r="R5" s="1363">
        <f>'5finance'!R60</f>
        <v>0</v>
      </c>
    </row>
    <row r="6" spans="1:18" s="1339" customFormat="1" ht="14" customHeight="1" thickTop="1" x14ac:dyDescent="0.15">
      <c r="A6" s="1364" t="s">
        <v>669</v>
      </c>
      <c r="B6" s="1365"/>
      <c r="C6" s="1365"/>
      <c r="D6" s="1365"/>
      <c r="E6" s="1365"/>
      <c r="F6" s="1365"/>
      <c r="G6" s="1365"/>
      <c r="H6" s="1365"/>
      <c r="I6" s="1365"/>
      <c r="J6" s="1365"/>
      <c r="K6" s="1365"/>
      <c r="L6" s="1365"/>
      <c r="M6" s="1366">
        <f>IF(M4=0,0,'5finance'!M60/'5finance'!M4)</f>
        <v>0</v>
      </c>
      <c r="N6" s="1366">
        <f>IF(N4=0,0,'5finance'!N60/'5finance'!N4)</f>
        <v>0</v>
      </c>
      <c r="O6" s="1366">
        <f>IF(O4=0,0,'5finance'!O60/'5finance'!O4)</f>
        <v>0</v>
      </c>
      <c r="P6" s="1366">
        <f>IF(P4=0,0,'5finance'!P60/'5finance'!P4)</f>
        <v>0</v>
      </c>
      <c r="Q6" s="1366">
        <f>IF(Q4=0,0,'5finance'!Q60/'5finance'!Q4)</f>
        <v>0</v>
      </c>
      <c r="R6" s="1366">
        <f>IF(R4=0,0,'5finance'!R60/'5finance'!R4)</f>
        <v>0</v>
      </c>
    </row>
    <row r="7" spans="1:18" s="204" customFormat="1" ht="14" customHeight="1" x14ac:dyDescent="0.15">
      <c r="A7" s="328" t="s">
        <v>257</v>
      </c>
      <c r="B7" s="201"/>
      <c r="C7" s="201"/>
      <c r="D7" s="201"/>
      <c r="E7" s="201"/>
      <c r="F7" s="201"/>
      <c r="G7" s="201"/>
      <c r="H7" s="201"/>
      <c r="I7" s="201"/>
      <c r="J7" s="202"/>
      <c r="K7" s="203"/>
      <c r="L7" s="201"/>
      <c r="M7" s="1074"/>
      <c r="N7" s="1074"/>
      <c r="O7" s="1074"/>
      <c r="P7" s="1074"/>
      <c r="Q7" s="1074"/>
      <c r="R7" s="1074"/>
    </row>
    <row r="8" spans="1:18" ht="14" customHeight="1" x14ac:dyDescent="0.15">
      <c r="M8" s="1180"/>
      <c r="N8" s="1180"/>
      <c r="O8" s="1180"/>
      <c r="P8" s="1180"/>
      <c r="Q8" s="1180"/>
      <c r="R8" s="1180"/>
    </row>
    <row r="9" spans="1:18" s="204" customFormat="1" ht="14" customHeight="1" thickBot="1" x14ac:dyDescent="0.2">
      <c r="A9" s="1374" t="s">
        <v>675</v>
      </c>
      <c r="B9" s="201"/>
      <c r="C9" s="201"/>
      <c r="D9" s="201"/>
      <c r="E9" s="201"/>
      <c r="F9" s="201"/>
      <c r="G9" s="201"/>
      <c r="H9" s="201"/>
      <c r="I9" s="201"/>
      <c r="J9" s="202"/>
      <c r="K9" s="203"/>
      <c r="L9" s="201"/>
      <c r="M9" s="1074"/>
      <c r="N9" s="1074"/>
      <c r="O9" s="1074"/>
      <c r="P9" s="1074"/>
      <c r="Q9" s="1074"/>
      <c r="R9" s="1074"/>
    </row>
    <row r="10" spans="1:18" s="204" customFormat="1" ht="14" customHeight="1" thickTop="1" thickBot="1" x14ac:dyDescent="0.2">
      <c r="A10" s="340" t="s">
        <v>586</v>
      </c>
      <c r="B10" s="193"/>
      <c r="C10" s="193"/>
      <c r="D10" s="193"/>
      <c r="E10" s="193"/>
      <c r="F10" s="193"/>
      <c r="G10" s="193"/>
      <c r="H10" s="193"/>
      <c r="I10" s="193"/>
      <c r="J10" s="194"/>
      <c r="K10" s="195"/>
      <c r="L10" s="193"/>
      <c r="M10" s="1216">
        <f>'5dwellings'!M11-'5dwellings'!M17</f>
        <v>0</v>
      </c>
      <c r="N10" s="1216">
        <f>'5dwellings'!N11-'5dwellings'!N17</f>
        <v>0</v>
      </c>
      <c r="O10" s="1216">
        <f>'5dwellings'!O11-'5dwellings'!O17</f>
        <v>0</v>
      </c>
      <c r="P10" s="1217">
        <f>'5dwellings'!P11-'5dwellings'!P17</f>
        <v>0</v>
      </c>
      <c r="Q10" s="1216">
        <f>'5dwellings'!Q11-'5dwellings'!Q17</f>
        <v>0</v>
      </c>
      <c r="R10" s="1216">
        <f>'5dwellings'!R11-'5dwellings'!R17</f>
        <v>0</v>
      </c>
    </row>
    <row r="11" spans="1:18" s="204" customFormat="1" ht="14" customHeight="1" thickTop="1" x14ac:dyDescent="0.15">
      <c r="A11" s="1177" t="s">
        <v>670</v>
      </c>
      <c r="B11" s="201"/>
      <c r="C11" s="201"/>
      <c r="D11" s="201"/>
      <c r="E11" s="201"/>
      <c r="F11" s="201"/>
      <c r="G11" s="201"/>
      <c r="H11" s="201"/>
      <c r="I11" s="201"/>
      <c r="J11" s="202"/>
      <c r="K11" s="203"/>
      <c r="L11" s="201"/>
      <c r="M11" s="1367">
        <v>5</v>
      </c>
      <c r="N11" s="1367">
        <v>5</v>
      </c>
      <c r="O11" s="1368">
        <v>5</v>
      </c>
      <c r="P11" s="1368">
        <v>4</v>
      </c>
      <c r="Q11" s="1369">
        <v>4</v>
      </c>
      <c r="R11" s="1367">
        <v>4</v>
      </c>
    </row>
    <row r="12" spans="1:18" s="204" customFormat="1" ht="14" customHeight="1" x14ac:dyDescent="0.15">
      <c r="A12" s="695" t="s">
        <v>671</v>
      </c>
      <c r="B12" s="659"/>
      <c r="C12" s="659"/>
      <c r="D12" s="659"/>
      <c r="E12" s="659"/>
      <c r="F12" s="659"/>
      <c r="G12" s="659"/>
      <c r="H12" s="659"/>
      <c r="I12" s="659"/>
      <c r="J12" s="659"/>
      <c r="K12" s="659"/>
      <c r="L12" s="659"/>
      <c r="M12" s="1218">
        <f t="shared" ref="M12:R12" si="0">M11*M10</f>
        <v>0</v>
      </c>
      <c r="N12" s="1218">
        <f t="shared" si="0"/>
        <v>0</v>
      </c>
      <c r="O12" s="1218">
        <f t="shared" si="0"/>
        <v>0</v>
      </c>
      <c r="P12" s="1219">
        <f t="shared" si="0"/>
        <v>0</v>
      </c>
      <c r="Q12" s="1218">
        <f t="shared" si="0"/>
        <v>0</v>
      </c>
      <c r="R12" s="1218">
        <f t="shared" si="0"/>
        <v>0</v>
      </c>
    </row>
    <row r="13" spans="1:18" s="204" customFormat="1" ht="14" customHeight="1" x14ac:dyDescent="0.15">
      <c r="A13" s="695" t="s">
        <v>615</v>
      </c>
      <c r="B13" s="201"/>
      <c r="C13" s="201"/>
      <c r="D13" s="201"/>
      <c r="E13" s="201"/>
      <c r="F13" s="201"/>
      <c r="G13" s="201"/>
      <c r="H13" s="201"/>
      <c r="I13" s="201"/>
      <c r="J13" s="202"/>
      <c r="K13" s="203"/>
      <c r="L13" s="201"/>
      <c r="M13" s="1036">
        <v>0.3</v>
      </c>
      <c r="N13" s="1178">
        <f>M13</f>
        <v>0.3</v>
      </c>
      <c r="O13" s="1178">
        <f>N13</f>
        <v>0.3</v>
      </c>
      <c r="P13" s="1179">
        <f>O13</f>
        <v>0.3</v>
      </c>
      <c r="Q13" s="1178">
        <f>P13</f>
        <v>0.3</v>
      </c>
      <c r="R13" s="1178">
        <f>Q13</f>
        <v>0.3</v>
      </c>
    </row>
    <row r="14" spans="1:18" s="204" customFormat="1" ht="14" customHeight="1" x14ac:dyDescent="0.15">
      <c r="A14" s="695" t="s">
        <v>672</v>
      </c>
      <c r="B14" s="659"/>
      <c r="C14" s="659"/>
      <c r="D14" s="659"/>
      <c r="E14" s="659"/>
      <c r="F14" s="659"/>
      <c r="G14" s="659"/>
      <c r="H14" s="659"/>
      <c r="I14" s="659"/>
      <c r="J14" s="659"/>
      <c r="K14" s="659"/>
      <c r="L14" s="659"/>
      <c r="M14" s="1218">
        <f t="shared" ref="M14:R14" si="1">M12*(1-M13)</f>
        <v>0</v>
      </c>
      <c r="N14" s="1218">
        <f t="shared" si="1"/>
        <v>0</v>
      </c>
      <c r="O14" s="1218">
        <f t="shared" si="1"/>
        <v>0</v>
      </c>
      <c r="P14" s="1220">
        <f t="shared" si="1"/>
        <v>0</v>
      </c>
      <c r="Q14" s="1218">
        <f t="shared" si="1"/>
        <v>0</v>
      </c>
      <c r="R14" s="1218">
        <f t="shared" si="1"/>
        <v>0</v>
      </c>
    </row>
    <row r="15" spans="1:18" s="204" customFormat="1" ht="14" customHeight="1" x14ac:dyDescent="0.15">
      <c r="A15" s="695" t="s">
        <v>472</v>
      </c>
      <c r="B15" s="391"/>
      <c r="C15" s="391"/>
      <c r="D15" s="391"/>
      <c r="E15" s="391"/>
      <c r="F15" s="391"/>
      <c r="G15" s="391"/>
      <c r="H15" s="391"/>
      <c r="I15" s="391"/>
      <c r="J15" s="392"/>
      <c r="K15" s="393"/>
      <c r="L15" s="391"/>
      <c r="M15" s="1036">
        <v>0.04</v>
      </c>
      <c r="N15" s="1178">
        <f>M15</f>
        <v>0.04</v>
      </c>
      <c r="O15" s="1178">
        <f>N15</f>
        <v>0.04</v>
      </c>
      <c r="P15" s="1179">
        <f>O15</f>
        <v>0.04</v>
      </c>
      <c r="Q15" s="1178">
        <f>P15</f>
        <v>0.04</v>
      </c>
      <c r="R15" s="1178">
        <f>Q15</f>
        <v>0.04</v>
      </c>
    </row>
    <row r="16" spans="1:18" ht="14" customHeight="1" thickBot="1" x14ac:dyDescent="0.2">
      <c r="M16" s="1180"/>
      <c r="N16" s="1180"/>
      <c r="O16" s="1180"/>
      <c r="P16" s="1180"/>
      <c r="Q16" s="1180"/>
      <c r="R16" s="1180"/>
    </row>
    <row r="17" spans="1:18" s="204" customFormat="1" ht="14" customHeight="1" thickTop="1" thickBot="1" x14ac:dyDescent="0.2">
      <c r="A17" s="340" t="s">
        <v>666</v>
      </c>
      <c r="B17" s="341"/>
      <c r="C17" s="341"/>
      <c r="D17" s="341"/>
      <c r="E17" s="341"/>
      <c r="F17" s="341"/>
      <c r="G17" s="341"/>
      <c r="H17" s="341"/>
      <c r="I17" s="341"/>
      <c r="J17" s="342"/>
      <c r="K17" s="343"/>
      <c r="L17" s="341"/>
      <c r="M17" s="1221">
        <f>'5finance'!M60-M14</f>
        <v>0</v>
      </c>
      <c r="N17" s="1221">
        <f>'5finance'!N60-N14</f>
        <v>0</v>
      </c>
      <c r="O17" s="1221">
        <f>'5finance'!O60-O14</f>
        <v>0</v>
      </c>
      <c r="P17" s="1222">
        <f>'5finance'!P60-P14</f>
        <v>0</v>
      </c>
      <c r="Q17" s="1221">
        <f>'5finance'!Q60-Q14</f>
        <v>0</v>
      </c>
      <c r="R17" s="1223">
        <f>'5finance'!R60-R14</f>
        <v>0</v>
      </c>
    </row>
    <row r="18" spans="1:18" s="144" customFormat="1" ht="14" customHeight="1" thickTop="1" x14ac:dyDescent="0.15">
      <c r="A18" s="691" t="s">
        <v>478</v>
      </c>
      <c r="B18" s="689"/>
      <c r="C18" s="689"/>
      <c r="D18" s="689"/>
      <c r="E18" s="689"/>
      <c r="F18" s="689"/>
      <c r="G18" s="689"/>
      <c r="H18" s="689"/>
      <c r="I18" s="689"/>
      <c r="J18" s="689"/>
      <c r="K18" s="690"/>
      <c r="L18" s="690"/>
      <c r="M18" s="1224">
        <f t="shared" ref="M18:R18" si="2">M14</f>
        <v>0</v>
      </c>
      <c r="N18" s="1224">
        <f t="shared" si="2"/>
        <v>0</v>
      </c>
      <c r="O18" s="1224">
        <f t="shared" si="2"/>
        <v>0</v>
      </c>
      <c r="P18" s="1225">
        <f t="shared" si="2"/>
        <v>0</v>
      </c>
      <c r="Q18" s="1224">
        <f t="shared" si="2"/>
        <v>0</v>
      </c>
      <c r="R18" s="1224">
        <f t="shared" si="2"/>
        <v>0</v>
      </c>
    </row>
    <row r="19" spans="1:18" s="144" customFormat="1" ht="14" customHeight="1" x14ac:dyDescent="0.15">
      <c r="A19" s="692" t="s">
        <v>242</v>
      </c>
      <c r="B19" s="192"/>
      <c r="C19" s="192"/>
      <c r="D19" s="192"/>
      <c r="E19" s="192"/>
      <c r="F19" s="192"/>
      <c r="G19" s="192"/>
      <c r="H19" s="192"/>
      <c r="I19" s="192"/>
      <c r="J19" s="192"/>
      <c r="K19" s="191"/>
      <c r="L19" s="191"/>
      <c r="M19" s="1226">
        <f>IF(M4=0,0,'5finance'!M31+'5finance'!M45)</f>
        <v>0</v>
      </c>
      <c r="N19" s="1226">
        <f>'5finance'!N31+'5finance'!N45</f>
        <v>0</v>
      </c>
      <c r="O19" s="1226">
        <f>'5finance'!O31+'5finance'!O45</f>
        <v>0</v>
      </c>
      <c r="P19" s="1227">
        <f>'5finance'!P31+'5finance'!P45</f>
        <v>0</v>
      </c>
      <c r="Q19" s="1226">
        <f>'5finance'!Q31+'5finance'!Q45</f>
        <v>0</v>
      </c>
      <c r="R19" s="1226">
        <f>'5finance'!R31+'5finance'!R45</f>
        <v>0</v>
      </c>
    </row>
    <row r="20" spans="1:18" s="144" customFormat="1" ht="14" customHeight="1" x14ac:dyDescent="0.15">
      <c r="A20" s="693" t="s">
        <v>262</v>
      </c>
      <c r="B20" s="682"/>
      <c r="C20" s="682"/>
      <c r="D20" s="682"/>
      <c r="E20" s="682"/>
      <c r="F20" s="682"/>
      <c r="G20" s="682"/>
      <c r="H20" s="682"/>
      <c r="I20" s="682"/>
      <c r="J20" s="682"/>
      <c r="K20" s="683"/>
      <c r="L20" s="683"/>
      <c r="M20" s="1181">
        <f>IF('5finance'!M8=0,0,M19/'5finance'!M8)</f>
        <v>0</v>
      </c>
      <c r="N20" s="1181">
        <f>IF('5finance'!N8=0,0,N19/'5finance'!N8)</f>
        <v>0</v>
      </c>
      <c r="O20" s="1181">
        <f>IF('5finance'!O8=0,0,O19/'5finance'!O8)</f>
        <v>0</v>
      </c>
      <c r="P20" s="1182">
        <f>IF('5finance'!P8=0,0,P19/'5finance'!P8)</f>
        <v>0</v>
      </c>
      <c r="Q20" s="1181">
        <f>IF('5finance'!Q8=0,0,Q19/'5finance'!Q8)</f>
        <v>0</v>
      </c>
      <c r="R20" s="1181">
        <f>IF('5finance'!R8=0,0,R19/'5finance'!R8)</f>
        <v>0</v>
      </c>
    </row>
    <row r="21" spans="1:18" s="144" customFormat="1" ht="14" customHeight="1" x14ac:dyDescent="0.15">
      <c r="A21" s="692" t="s">
        <v>243</v>
      </c>
      <c r="B21" s="192"/>
      <c r="C21" s="192"/>
      <c r="D21" s="192"/>
      <c r="E21" s="192"/>
      <c r="F21" s="192"/>
      <c r="G21" s="192"/>
      <c r="H21" s="192"/>
      <c r="I21" s="192"/>
      <c r="J21" s="192"/>
      <c r="K21" s="191"/>
      <c r="L21" s="191"/>
      <c r="M21" s="1226">
        <f>IF(M4=0,0,'5finance'!M32+'5finance'!M46)</f>
        <v>0</v>
      </c>
      <c r="N21" s="1226">
        <f>IF(N4=0,0,'5finance'!N32+'5finance'!N46)</f>
        <v>0</v>
      </c>
      <c r="O21" s="1226">
        <f>IF(O4=0,0,'5finance'!O32+'5finance'!O46)</f>
        <v>0</v>
      </c>
      <c r="P21" s="1227">
        <f>IF(P4=0,0,'5finance'!P32+'5finance'!P46)</f>
        <v>0</v>
      </c>
      <c r="Q21" s="1226">
        <f>IF(Q4=0,0,'5finance'!Q32+'5finance'!Q46)</f>
        <v>0</v>
      </c>
      <c r="R21" s="1226">
        <f>IF(R4=0,0,'5finance'!R32+'5finance'!R46)</f>
        <v>0</v>
      </c>
    </row>
    <row r="22" spans="1:18" s="144" customFormat="1" ht="14" customHeight="1" x14ac:dyDescent="0.15">
      <c r="A22" s="693" t="s">
        <v>261</v>
      </c>
      <c r="B22" s="682"/>
      <c r="C22" s="682"/>
      <c r="D22" s="682"/>
      <c r="E22" s="682"/>
      <c r="F22" s="682"/>
      <c r="G22" s="682"/>
      <c r="H22" s="682"/>
      <c r="I22" s="682"/>
      <c r="J22" s="682"/>
      <c r="K22" s="683"/>
      <c r="L22" s="683"/>
      <c r="M22" s="1181">
        <f>IF('5finance'!M8=0,0,M21/'5finance'!M8)</f>
        <v>0</v>
      </c>
      <c r="N22" s="1181">
        <f>IF('5finance'!N8=0,0,N21/'5finance'!N8)</f>
        <v>0</v>
      </c>
      <c r="O22" s="1181">
        <f>IF('5finance'!O8=0,0,O21/'5finance'!O8)</f>
        <v>0</v>
      </c>
      <c r="P22" s="1182">
        <f>IF('5finance'!P8=0,0,P21/'5finance'!P8)</f>
        <v>0</v>
      </c>
      <c r="Q22" s="1181">
        <f>IF('5finance'!Q8=0,0,Q21/'5finance'!Q8)</f>
        <v>0</v>
      </c>
      <c r="R22" s="1181">
        <f>IF('5finance'!R8=0,0,R21/'5finance'!R8)</f>
        <v>0</v>
      </c>
    </row>
    <row r="23" spans="1:18" s="688" customFormat="1" ht="14" hidden="1" customHeight="1" x14ac:dyDescent="0.15">
      <c r="A23" s="684" t="s">
        <v>473</v>
      </c>
      <c r="B23" s="685"/>
      <c r="C23" s="685"/>
      <c r="D23" s="685"/>
      <c r="E23" s="685"/>
      <c r="F23" s="685"/>
      <c r="G23" s="685"/>
      <c r="H23" s="685"/>
      <c r="I23" s="685"/>
      <c r="J23" s="685"/>
      <c r="K23" s="686"/>
      <c r="L23" s="686"/>
      <c r="M23" s="687" t="e">
        <f>1-(M19+M21)/'5finance'!M8</f>
        <v>#DIV/0!</v>
      </c>
      <c r="N23" s="687" t="e">
        <f>1-(N19+N21)/'5finance'!N8</f>
        <v>#DIV/0!</v>
      </c>
      <c r="O23" s="687" t="e">
        <f>1-(O19+O21)/'5finance'!O8</f>
        <v>#DIV/0!</v>
      </c>
      <c r="P23" s="687" t="e">
        <f>1-(P19+P21)/'5finance'!P8</f>
        <v>#DIV/0!</v>
      </c>
      <c r="Q23" s="687" t="e">
        <f>1-(Q19+Q21)/'5finance'!Q8</f>
        <v>#DIV/0!</v>
      </c>
      <c r="R23" s="687" t="e">
        <f>1-(R19+R21)/'5finance'!R8</f>
        <v>#DIV/0!</v>
      </c>
    </row>
    <row r="24" spans="1:18" ht="14" customHeight="1" x14ac:dyDescent="0.15">
      <c r="A24" s="395"/>
      <c r="B24" s="192"/>
      <c r="C24" s="192"/>
      <c r="D24" s="192"/>
      <c r="E24" s="192"/>
      <c r="F24" s="192"/>
      <c r="G24" s="192"/>
      <c r="H24" s="192"/>
      <c r="I24" s="192"/>
      <c r="J24" s="192"/>
      <c r="K24" s="191"/>
      <c r="L24" s="191"/>
      <c r="M24" s="191"/>
      <c r="N24" s="191"/>
      <c r="O24" s="191"/>
      <c r="P24" s="191"/>
      <c r="Q24" s="191"/>
      <c r="R24" s="191"/>
    </row>
    <row r="25" spans="1:18" ht="14" customHeight="1" x14ac:dyDescent="0.15">
      <c r="A25" s="328" t="s">
        <v>260</v>
      </c>
      <c r="B25" s="192"/>
      <c r="C25" s="192"/>
      <c r="D25" s="192"/>
      <c r="E25" s="192"/>
      <c r="F25" s="192"/>
      <c r="G25" s="192"/>
      <c r="H25" s="192"/>
      <c r="I25" s="192"/>
      <c r="J25" s="192"/>
      <c r="K25" s="191"/>
      <c r="L25" s="191"/>
      <c r="M25" s="396"/>
      <c r="N25" s="396"/>
      <c r="O25" s="396"/>
      <c r="P25" s="396"/>
      <c r="Q25" s="396"/>
      <c r="R25" s="397"/>
    </row>
    <row r="26" spans="1:18" ht="14" customHeight="1" x14ac:dyDescent="0.15">
      <c r="A26" s="328" t="s">
        <v>258</v>
      </c>
      <c r="B26" s="192"/>
      <c r="C26" s="192"/>
      <c r="D26" s="192"/>
      <c r="E26" s="192"/>
      <c r="F26" s="192"/>
      <c r="G26" s="192"/>
      <c r="H26" s="192"/>
      <c r="I26" s="192"/>
      <c r="J26" s="192"/>
      <c r="K26" s="191"/>
      <c r="L26" s="191"/>
      <c r="M26" s="396"/>
      <c r="N26" s="396"/>
      <c r="O26" s="396"/>
      <c r="P26" s="396"/>
      <c r="Q26" s="396"/>
      <c r="R26" s="396"/>
    </row>
    <row r="27" spans="1:18" ht="14" customHeight="1" x14ac:dyDescent="0.15">
      <c r="A27" s="328" t="s">
        <v>259</v>
      </c>
      <c r="B27" s="192"/>
      <c r="C27" s="192"/>
      <c r="D27" s="192"/>
      <c r="E27" s="192"/>
      <c r="F27" s="192"/>
      <c r="G27" s="192"/>
      <c r="H27" s="192"/>
      <c r="I27" s="192"/>
      <c r="J27" s="192"/>
      <c r="K27" s="191"/>
      <c r="L27" s="191"/>
      <c r="M27" s="396"/>
      <c r="N27" s="396"/>
      <c r="O27" s="396"/>
      <c r="P27" s="396"/>
      <c r="Q27" s="396"/>
      <c r="R27" s="396"/>
    </row>
    <row r="28" spans="1:18" ht="14" customHeight="1" x14ac:dyDescent="0.15">
      <c r="A28" s="328" t="s">
        <v>263</v>
      </c>
      <c r="B28" s="192"/>
      <c r="C28" s="192"/>
      <c r="D28" s="192"/>
      <c r="E28" s="192"/>
      <c r="F28" s="192"/>
      <c r="G28" s="192"/>
      <c r="H28" s="192"/>
      <c r="I28" s="192"/>
      <c r="J28" s="192"/>
      <c r="K28" s="191"/>
      <c r="L28" s="191"/>
      <c r="M28" s="396"/>
      <c r="N28" s="396"/>
      <c r="O28" s="396"/>
      <c r="P28" s="396"/>
      <c r="Q28" s="396"/>
      <c r="R28" s="396"/>
    </row>
    <row r="29" spans="1:18" ht="14" customHeight="1" x14ac:dyDescent="0.15">
      <c r="A29" s="328" t="s">
        <v>264</v>
      </c>
      <c r="B29" s="192"/>
      <c r="C29" s="192"/>
      <c r="D29" s="192"/>
      <c r="E29" s="192"/>
      <c r="F29" s="192"/>
      <c r="G29" s="192"/>
      <c r="H29" s="192"/>
      <c r="I29" s="192"/>
      <c r="J29" s="192"/>
      <c r="K29" s="191"/>
      <c r="L29" s="191"/>
      <c r="M29" s="191"/>
      <c r="N29" s="191"/>
      <c r="O29" s="191"/>
      <c r="P29" s="191"/>
      <c r="Q29" s="191"/>
      <c r="R29" s="191"/>
    </row>
    <row r="30" spans="1:18" ht="14" customHeight="1" x14ac:dyDescent="0.15">
      <c r="A30" s="395"/>
      <c r="B30" s="192"/>
      <c r="C30" s="192"/>
      <c r="D30" s="192"/>
      <c r="E30" s="192"/>
      <c r="F30" s="192"/>
      <c r="G30" s="192"/>
      <c r="H30" s="192"/>
      <c r="I30" s="192"/>
      <c r="J30" s="192"/>
      <c r="K30" s="191"/>
      <c r="L30" s="191"/>
      <c r="M30" s="191"/>
      <c r="N30" s="191"/>
      <c r="O30" s="191"/>
      <c r="P30" s="191"/>
      <c r="Q30" s="191"/>
      <c r="R30" s="191"/>
    </row>
    <row r="31" spans="1:18" ht="14" customHeight="1" x14ac:dyDescent="0.15">
      <c r="A31" s="395"/>
      <c r="B31" s="192"/>
      <c r="C31" s="192"/>
      <c r="D31" s="192"/>
      <c r="E31" s="192"/>
      <c r="F31" s="192"/>
      <c r="G31" s="192"/>
      <c r="H31" s="192"/>
      <c r="I31" s="192"/>
      <c r="J31" s="192"/>
      <c r="K31" s="191"/>
      <c r="L31" s="191"/>
      <c r="M31" s="191"/>
      <c r="N31" s="191"/>
      <c r="O31" s="191"/>
      <c r="P31" s="191"/>
      <c r="Q31" s="191"/>
      <c r="R31" s="191"/>
    </row>
    <row r="32" spans="1:18" ht="14" customHeight="1" x14ac:dyDescent="0.15">
      <c r="A32" s="395"/>
      <c r="B32" s="192"/>
      <c r="C32" s="192"/>
      <c r="D32" s="192"/>
      <c r="E32" s="192"/>
      <c r="F32" s="192"/>
      <c r="G32" s="192"/>
      <c r="H32" s="192"/>
      <c r="I32" s="192"/>
      <c r="J32" s="192"/>
      <c r="K32" s="191"/>
      <c r="L32" s="191"/>
      <c r="M32" s="191"/>
      <c r="N32" s="191"/>
      <c r="O32" s="191"/>
      <c r="P32" s="191"/>
      <c r="Q32" s="191"/>
      <c r="R32" s="191"/>
    </row>
  </sheetData>
  <sheetProtection selectLockedCells="1"/>
  <pageMargins left="0.7" right="0.7" top="0.75" bottom="0.75" header="0.3" footer="0.3"/>
  <pageSetup paperSize="9" scale="82" fitToHeight="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F1730-1DA7-C646-84A8-EFB1FE26E371}">
  <sheetPr>
    <tabColor theme="6" tint="-0.249977111117893"/>
    <pageSetUpPr fitToPage="1"/>
  </sheetPr>
  <dimension ref="A1:BD43"/>
  <sheetViews>
    <sheetView zoomScale="200" zoomScaleNormal="200" workbookViewId="0">
      <selection activeCell="B43" sqref="B43"/>
    </sheetView>
  </sheetViews>
  <sheetFormatPr baseColWidth="10" defaultColWidth="10.6640625" defaultRowHeight="14" customHeight="1" x14ac:dyDescent="0.15"/>
  <cols>
    <col min="1" max="1" width="13.83203125" style="109" customWidth="1"/>
    <col min="2" max="2" width="18" style="109" customWidth="1"/>
    <col min="3" max="3" width="7.1640625" style="110" customWidth="1"/>
    <col min="4" max="4" width="9.33203125" style="110" customWidth="1"/>
    <col min="5" max="5" width="9.5" style="110" customWidth="1"/>
    <col min="6" max="7" width="9.33203125" style="110" customWidth="1"/>
    <col min="8" max="16" width="9.33203125" style="108" hidden="1" customWidth="1"/>
    <col min="17" max="18" width="9.33203125" style="109" hidden="1" customWidth="1"/>
    <col min="19" max="24" width="13" style="109" customWidth="1"/>
    <col min="25" max="25" width="11.6640625" style="109" customWidth="1"/>
    <col min="26" max="26" width="7.83203125" style="109" customWidth="1"/>
    <col min="27" max="16384" width="10.6640625" style="109"/>
  </cols>
  <sheetData>
    <row r="1" spans="1:56" s="107" customFormat="1" ht="14" customHeight="1" x14ac:dyDescent="0.15">
      <c r="A1" s="105" t="s">
        <v>284</v>
      </c>
      <c r="B1" s="105"/>
      <c r="D1" s="105"/>
      <c r="E1" s="105"/>
      <c r="F1" s="105"/>
      <c r="G1" s="401"/>
      <c r="H1" s="106"/>
      <c r="I1" s="106"/>
      <c r="J1" s="106"/>
      <c r="K1" s="106"/>
      <c r="L1" s="106"/>
      <c r="M1" s="106"/>
      <c r="N1" s="106"/>
      <c r="O1" s="106"/>
      <c r="P1" s="106"/>
    </row>
    <row r="2" spans="1:56" s="107" customFormat="1" ht="14" customHeight="1" x14ac:dyDescent="0.15">
      <c r="A2" s="105"/>
      <c r="B2" s="105"/>
      <c r="D2" s="105"/>
      <c r="E2" s="105"/>
      <c r="F2" s="105"/>
    </row>
    <row r="3" spans="1:56" ht="35" customHeight="1" thickBot="1" x14ac:dyDescent="0.2">
      <c r="A3" s="1541" t="s">
        <v>493</v>
      </c>
      <c r="B3" s="1541"/>
      <c r="C3" s="1541"/>
      <c r="D3" s="1541"/>
      <c r="E3" s="1541"/>
      <c r="F3" s="1541"/>
      <c r="G3" s="1542"/>
      <c r="H3" s="403" t="s">
        <v>143</v>
      </c>
      <c r="I3" s="404" t="s">
        <v>144</v>
      </c>
      <c r="J3" s="405" t="s">
        <v>145</v>
      </c>
      <c r="K3" s="935" t="s">
        <v>146</v>
      </c>
      <c r="L3" s="935" t="s">
        <v>628</v>
      </c>
      <c r="M3" s="470" t="s">
        <v>630</v>
      </c>
      <c r="N3" s="406" t="s">
        <v>147</v>
      </c>
      <c r="O3" s="407" t="s">
        <v>148</v>
      </c>
      <c r="P3" s="408" t="s">
        <v>16</v>
      </c>
      <c r="Q3" s="408" t="s">
        <v>627</v>
      </c>
      <c r="R3" s="470" t="s">
        <v>631</v>
      </c>
      <c r="S3" s="409" t="s">
        <v>625</v>
      </c>
      <c r="T3" s="410" t="s">
        <v>475</v>
      </c>
      <c r="U3" s="410" t="s">
        <v>626</v>
      </c>
      <c r="V3" s="508" t="s">
        <v>629</v>
      </c>
      <c r="W3" s="411" t="s">
        <v>623</v>
      </c>
      <c r="X3" s="1411" t="s">
        <v>624</v>
      </c>
    </row>
    <row r="4" spans="1:56" s="143" customFormat="1" ht="15" customHeight="1" x14ac:dyDescent="0.15">
      <c r="G4" s="1405" t="str">
        <f>'5finance'!A3</f>
        <v>Starter type</v>
      </c>
      <c r="H4" s="699" t="str">
        <f>'5finance'!B3</f>
        <v>lot only</v>
      </c>
      <c r="I4" s="699" t="str">
        <f>'5finance'!C3</f>
        <v>lot only</v>
      </c>
      <c r="J4" s="699" t="str">
        <f>'5finance'!D3</f>
        <v>lot only</v>
      </c>
      <c r="K4" s="699" t="str">
        <f>'5finance'!E3</f>
        <v>mixed-use building</v>
      </c>
      <c r="L4" s="699" t="str">
        <f>'5finance'!F3</f>
        <v>mixed-use building</v>
      </c>
      <c r="M4" s="699" t="str">
        <f>'5finance'!G3</f>
        <v>lot only</v>
      </c>
      <c r="N4" s="699" t="str">
        <f>'5finance'!H3</f>
        <v>lot only</v>
      </c>
      <c r="O4" s="699" t="str">
        <f>'5finance'!I3</f>
        <v>lot only</v>
      </c>
      <c r="P4" s="699" t="str">
        <f>'5finance'!J3</f>
        <v>mixed-use building</v>
      </c>
      <c r="Q4" s="699" t="str">
        <f>'5finance'!K3</f>
        <v>mixed-use building</v>
      </c>
      <c r="R4" s="699" t="str">
        <f>'5finance'!L3</f>
        <v>lot only</v>
      </c>
      <c r="S4" s="1125" t="str">
        <f>'5finance'!M3</f>
        <v>apartments</v>
      </c>
      <c r="T4" s="1125" t="str">
        <f>'5finance'!N3</f>
        <v>shell</v>
      </c>
      <c r="U4" s="1125" t="str">
        <f>'5finance'!O3</f>
        <v>shell</v>
      </c>
      <c r="V4" s="1406" t="str">
        <f>'5finance'!P3</f>
        <v>core</v>
      </c>
      <c r="W4" s="1125" t="str">
        <f>'5finance'!Q3</f>
        <v>core</v>
      </c>
      <c r="X4" s="1125" t="str">
        <f>'5finance'!R3</f>
        <v>roof</v>
      </c>
    </row>
    <row r="5" spans="1:56" s="145" customFormat="1" ht="14" customHeight="1" thickBot="1" x14ac:dyDescent="0.2">
      <c r="D5" s="1407"/>
      <c r="E5" s="1407"/>
      <c r="F5" s="1407"/>
      <c r="G5" s="1408" t="str">
        <f>'5dwellings'!A11</f>
        <v>starter dwelling main units (owned), average gross area</v>
      </c>
      <c r="H5" s="1407">
        <f>'5dwellings'!B17</f>
        <v>0</v>
      </c>
      <c r="I5" s="1407">
        <f>'5dwellings'!C17</f>
        <v>0</v>
      </c>
      <c r="J5" s="1407">
        <f>'5dwellings'!D17</f>
        <v>0</v>
      </c>
      <c r="K5" s="1407">
        <f>'5dwellings'!E17</f>
        <v>0</v>
      </c>
      <c r="L5" s="1407">
        <f>'5dwellings'!F17</f>
        <v>0</v>
      </c>
      <c r="M5" s="1407">
        <f>'5dwellings'!G17</f>
        <v>0</v>
      </c>
      <c r="N5" s="1407">
        <f>'5dwellings'!H17</f>
        <v>0</v>
      </c>
      <c r="O5" s="1407">
        <f>'5dwellings'!I17</f>
        <v>0</v>
      </c>
      <c r="P5" s="1407">
        <f>'5dwellings'!J17</f>
        <v>0</v>
      </c>
      <c r="Q5" s="1407">
        <f>'5dwellings'!K17</f>
        <v>0</v>
      </c>
      <c r="R5" s="1407">
        <f>'5dwellings'!L17</f>
        <v>0</v>
      </c>
      <c r="S5" s="1409">
        <f>'5dwellings'!M17</f>
        <v>0</v>
      </c>
      <c r="T5" s="1409">
        <f>'5dwellings'!N17</f>
        <v>0</v>
      </c>
      <c r="U5" s="1409">
        <f>'5dwellings'!O17</f>
        <v>0</v>
      </c>
      <c r="V5" s="1410">
        <f>'5dwellings'!P17</f>
        <v>0</v>
      </c>
      <c r="W5" s="1409">
        <f>'5dwellings'!Q17</f>
        <v>0</v>
      </c>
      <c r="X5" s="1409">
        <f>'5dwellings'!R17</f>
        <v>0</v>
      </c>
    </row>
    <row r="6" spans="1:56" ht="14" customHeight="1" thickTop="1" thickBot="1" x14ac:dyDescent="0.2">
      <c r="A6" s="654"/>
      <c r="B6" s="654"/>
      <c r="C6" s="654"/>
      <c r="D6" s="654"/>
      <c r="E6" s="654"/>
      <c r="F6" s="654"/>
      <c r="G6" s="655" t="s">
        <v>279</v>
      </c>
      <c r="H6" s="656"/>
      <c r="I6" s="656"/>
      <c r="J6" s="656"/>
      <c r="K6" s="656"/>
      <c r="L6" s="656"/>
      <c r="M6" s="656"/>
      <c r="N6" s="656"/>
      <c r="O6" s="656"/>
      <c r="P6" s="657"/>
      <c r="Q6" s="658"/>
      <c r="R6" s="656"/>
      <c r="S6" s="383">
        <f>'5rental'!M17</f>
        <v>0</v>
      </c>
      <c r="T6" s="383">
        <f>'5rental'!N17</f>
        <v>0</v>
      </c>
      <c r="U6" s="383">
        <f>'5rental'!O17</f>
        <v>0</v>
      </c>
      <c r="V6" s="924">
        <f>'5rental'!P17</f>
        <v>0</v>
      </c>
      <c r="W6" s="383">
        <f>'5rental'!Q17</f>
        <v>0</v>
      </c>
      <c r="X6" s="384">
        <f>'5rental'!R17</f>
        <v>0</v>
      </c>
    </row>
    <row r="7" spans="1:56" ht="14" customHeight="1" thickTop="1" thickBot="1" x14ac:dyDescent="0.2">
      <c r="A7" s="394"/>
      <c r="B7" s="394"/>
      <c r="C7" s="394"/>
      <c r="D7" s="394"/>
      <c r="E7" s="394"/>
      <c r="F7" s="394"/>
      <c r="G7" s="340" t="s">
        <v>278</v>
      </c>
      <c r="H7" s="341"/>
      <c r="I7" s="341"/>
      <c r="J7" s="341"/>
      <c r="K7" s="341"/>
      <c r="L7" s="341"/>
      <c r="M7" s="341"/>
      <c r="N7" s="341"/>
      <c r="O7" s="341"/>
      <c r="P7" s="342"/>
      <c r="Q7" s="343"/>
      <c r="R7" s="341"/>
      <c r="S7" s="386">
        <f>'5rental'!M19</f>
        <v>0</v>
      </c>
      <c r="T7" s="386">
        <f>'5rental'!N19</f>
        <v>0</v>
      </c>
      <c r="U7" s="386">
        <f>'5rental'!O19</f>
        <v>0</v>
      </c>
      <c r="V7" s="925">
        <f>'5rental'!P19</f>
        <v>0</v>
      </c>
      <c r="W7" s="386">
        <f>'5rental'!Q19</f>
        <v>0</v>
      </c>
      <c r="X7" s="387">
        <f>'5rental'!R19</f>
        <v>0</v>
      </c>
    </row>
    <row r="8" spans="1:56" ht="14" customHeight="1" thickTop="1" x14ac:dyDescent="0.15">
      <c r="H8" s="192"/>
      <c r="I8" s="192"/>
      <c r="J8" s="192"/>
      <c r="K8" s="192"/>
      <c r="L8" s="192"/>
      <c r="M8" s="192"/>
      <c r="N8" s="192"/>
      <c r="O8" s="192"/>
      <c r="P8" s="192"/>
      <c r="Q8" s="191"/>
      <c r="R8" s="191"/>
      <c r="S8" s="1386"/>
      <c r="T8" s="1386"/>
      <c r="U8" s="1386"/>
      <c r="V8" s="1386"/>
      <c r="W8" s="1386"/>
      <c r="X8" s="1386"/>
    </row>
    <row r="9" spans="1:56" s="398" customFormat="1" ht="40" customHeight="1" thickBot="1" x14ac:dyDescent="0.2">
      <c r="A9" s="1375"/>
      <c r="B9" s="1375"/>
      <c r="C9" s="400" t="s">
        <v>265</v>
      </c>
      <c r="D9" s="400" t="s">
        <v>80</v>
      </c>
      <c r="E9" s="1546" t="s">
        <v>280</v>
      </c>
      <c r="F9" s="1546"/>
      <c r="G9" s="402" t="s">
        <v>276</v>
      </c>
      <c r="S9" s="1547" t="s">
        <v>471</v>
      </c>
      <c r="T9" s="1547"/>
      <c r="U9" s="1547"/>
      <c r="V9" s="1547"/>
      <c r="W9" s="1547"/>
      <c r="X9" s="1547"/>
      <c r="Y9" s="669" t="s">
        <v>283</v>
      </c>
      <c r="Z9" s="669"/>
    </row>
    <row r="10" spans="1:56" s="204" customFormat="1" ht="14" customHeight="1" x14ac:dyDescent="0.15">
      <c r="A10" s="1558" t="s">
        <v>542</v>
      </c>
      <c r="B10" s="1551" t="s">
        <v>537</v>
      </c>
      <c r="C10" s="1125" t="s">
        <v>266</v>
      </c>
      <c r="D10" s="1331">
        <v>1542.9534656176181</v>
      </c>
      <c r="E10" s="1387">
        <v>0.35</v>
      </c>
      <c r="F10" s="659">
        <f>E10*D10</f>
        <v>540.03371296616626</v>
      </c>
      <c r="G10" s="1332">
        <f>D10*12</f>
        <v>18515.441587411417</v>
      </c>
      <c r="H10" s="201"/>
      <c r="I10" s="201"/>
      <c r="J10" s="201"/>
      <c r="K10" s="201"/>
      <c r="L10" s="201"/>
      <c r="M10" s="201"/>
      <c r="N10" s="201"/>
      <c r="O10" s="201"/>
      <c r="P10" s="202"/>
      <c r="Q10" s="203"/>
      <c r="R10" s="201"/>
      <c r="S10" s="1376" t="str">
        <f>IF(S5=0,"No",IF(AND(F10&gt;S6,G10&gt;S7), "Yes",IF(AND(F10&gt;S6,G10&lt;S7), "Downpayment",IF(AND(F10&lt;S6,G10&gt;S7), "Installment","No"))))</f>
        <v>No</v>
      </c>
      <c r="T10" s="1376" t="str">
        <f>IF(T5=0,"No",IF(AND(F10&gt;T6,G10&gt;T7), "Yes",IF(AND(F10&gt;T6,G10&lt;T7), "Downpayment",IF(AND(F10&lt;T6,G10&gt;T7), "Installment","No"))))</f>
        <v>No</v>
      </c>
      <c r="U10" s="1376" t="str">
        <f>IF(U5=0,"No",IF(AND(F10&gt;U6,G10&gt;U7), "Yes",IF(AND(F10&gt;U6,G10&lt;U7), "Downpayment",IF(AND(F10&lt;U6,G10&gt;U7), "Installment","No"))))</f>
        <v>No</v>
      </c>
      <c r="V10" s="1377" t="str">
        <f>IF(V5=0,"No",IF(AND(F10&gt;V6,G10&gt;V7), "Yes",IF(AND(F10&gt;V6,G10&lt;V7), "Downpayment",IF(AND(F10&lt;V6,G10&gt;V7), "Installment","No"))))</f>
        <v>No</v>
      </c>
      <c r="W10" s="1376" t="str">
        <f>IF(W5=0,"No",IF(AND(F10&gt;W6,G10&gt;W7), "Yes",IF(AND(F10&gt;W6,G10&lt;W7), "Downpayment",IF(AND(F10&lt;W6,G10&gt;W7), "Installment","No"))))</f>
        <v>No</v>
      </c>
      <c r="X10" s="1376" t="str">
        <f>IF(X5=0,"No",IF(AND(F10&gt;X6,G10&gt;X7), "Yes",IF(AND(F10&gt;X6,G10&lt;X7), "Downpayment",IF(AND(F10&lt;X6,G10&gt;X7), "Installment","No"))))</f>
        <v>No</v>
      </c>
      <c r="Y10" s="1388" t="str">
        <f>IF(COUNTIF(S10:X10,"Yes")&gt;0,"Yes","No")</f>
        <v>No</v>
      </c>
      <c r="Z10" s="1389" t="str">
        <f>C10</f>
        <v>decile 10</v>
      </c>
      <c r="AA10" s="398"/>
      <c r="AB10" s="1390">
        <f t="shared" ref="AB10:AB19" si="0">IF(S10="Yes",0.1,0)</f>
        <v>0</v>
      </c>
      <c r="AC10" s="1390">
        <f t="shared" ref="AC10:AC19" si="1">IF(T10="Yes",0.1,0)</f>
        <v>0</v>
      </c>
      <c r="AD10" s="1390">
        <f t="shared" ref="AD10:AD19" si="2">IF(U10="Yes",0.1,0)</f>
        <v>0</v>
      </c>
      <c r="AE10" s="1390">
        <f t="shared" ref="AE10:AE19" si="3">IF(V10="Yes",0.1,0)</f>
        <v>0</v>
      </c>
      <c r="AF10" s="1390">
        <f t="shared" ref="AF10:AF19" si="4">IF(W10="Yes",0.1,0)</f>
        <v>0</v>
      </c>
      <c r="AG10" s="1390">
        <f t="shared" ref="AG10:AG19" si="5">IF(X10="Yes",0.1,0)</f>
        <v>0</v>
      </c>
      <c r="AI10" s="398"/>
      <c r="AJ10" s="398"/>
      <c r="AK10" s="398"/>
      <c r="AL10" s="398"/>
      <c r="AM10" s="398"/>
      <c r="AN10" s="398"/>
      <c r="AO10" s="398"/>
      <c r="AP10" s="398"/>
      <c r="AQ10" s="398"/>
      <c r="AR10" s="398"/>
      <c r="AS10" s="398"/>
      <c r="AT10" s="398"/>
      <c r="AU10" s="398"/>
      <c r="AV10" s="398"/>
      <c r="AW10" s="398"/>
      <c r="AX10" s="398"/>
      <c r="AY10" s="398"/>
      <c r="AZ10" s="398"/>
      <c r="BA10" s="398"/>
      <c r="BB10" s="398"/>
      <c r="BC10" s="398"/>
      <c r="BD10" s="398"/>
    </row>
    <row r="11" spans="1:56" s="144" customFormat="1" ht="14" customHeight="1" thickBot="1" x14ac:dyDescent="0.2">
      <c r="A11" s="1559"/>
      <c r="B11" s="1554"/>
      <c r="C11" s="1230" t="s">
        <v>267</v>
      </c>
      <c r="D11" s="661">
        <v>847.11170661359415</v>
      </c>
      <c r="E11" s="1391">
        <v>0.32500000000000001</v>
      </c>
      <c r="F11" s="1392">
        <f t="shared" ref="F11:F19" si="6">E11*D11</f>
        <v>275.3113046494181</v>
      </c>
      <c r="G11" s="1333">
        <f>D11*9</f>
        <v>7624.0053595223471</v>
      </c>
      <c r="H11" s="839"/>
      <c r="I11" s="839"/>
      <c r="J11" s="839"/>
      <c r="K11" s="839"/>
      <c r="L11" s="839"/>
      <c r="M11" s="839"/>
      <c r="N11" s="839"/>
      <c r="O11" s="839"/>
      <c r="P11" s="840"/>
      <c r="Q11" s="839"/>
      <c r="R11" s="839"/>
      <c r="S11" s="1378" t="str">
        <f>IF(S5=0,"No",IF(AND(F11&gt;S6,G11&gt;S7), "Yes",IF(AND(F11&gt;S6,G11&lt;S7), "Downpayment",IF(AND(F11&lt;S6,G11&gt;S7), "Installment","No"))))</f>
        <v>No</v>
      </c>
      <c r="T11" s="1378" t="str">
        <f>IF(T5=0,"No",IF(AND(F11&gt;T6,G11&gt;T7), "Yes",IF(AND(F11&gt;T6,G11&lt;T7), "Downpayment",IF(AND(F11&lt;T6,G11&gt;T7), "Installment","No"))))</f>
        <v>No</v>
      </c>
      <c r="U11" s="1378" t="str">
        <f>IF(U5=0,"No",IF(AND(F11&gt;U6,G11&gt;U7), "Yes",IF(AND(F11&gt;U6,G11&lt;U7), "Downpayment",IF(AND(F11&lt;U6,G11&gt;U7), "Installment","No"))))</f>
        <v>No</v>
      </c>
      <c r="V11" s="1379" t="str">
        <f>IF(V5=0,"No",IF(AND(F11&gt;V6,G11&gt;V7), "Yes",IF(AND(F11&gt;V6,G11&lt;V7), "Downpayment",IF(AND(F11&lt;V6,G11&gt;V7), "Installment","No"))))</f>
        <v>No</v>
      </c>
      <c r="W11" s="1378" t="str">
        <f>IF(W5=0,"No",IF(AND(F11&gt;W6,G11&gt;W7), "Yes",IF(AND(F11&gt;W6,G11&lt;W7), "Downpayment",IF(AND(F11&lt;W6,G11&gt;W7), "Installment","No"))))</f>
        <v>No</v>
      </c>
      <c r="X11" s="1378" t="str">
        <f>IF(X5=0,"No",IF(AND(F11&gt;X6,G11&gt;X7), "Yes",IF(AND(F11&gt;X6,G11&lt;X7), "Downpayment",IF(AND(F11&lt;X6,G11&gt;X7), "Installment","No"))))</f>
        <v>No</v>
      </c>
      <c r="Y11" s="665" t="str">
        <f t="shared" ref="Y11:Y19" si="7">IF(COUNTIF(S11:X11,"Yes")&gt;0,"Yes","No")</f>
        <v>No</v>
      </c>
      <c r="Z11" s="666" t="str">
        <f t="shared" ref="Z11:Z19" si="8">C11</f>
        <v>decile 9</v>
      </c>
      <c r="AA11" s="398"/>
      <c r="AB11" s="1390">
        <f t="shared" si="0"/>
        <v>0</v>
      </c>
      <c r="AC11" s="1390">
        <f t="shared" si="1"/>
        <v>0</v>
      </c>
      <c r="AD11" s="1390">
        <f t="shared" si="2"/>
        <v>0</v>
      </c>
      <c r="AE11" s="1390">
        <f t="shared" si="3"/>
        <v>0</v>
      </c>
      <c r="AF11" s="1390">
        <f t="shared" si="4"/>
        <v>0</v>
      </c>
      <c r="AG11" s="1390">
        <f t="shared" si="5"/>
        <v>0</v>
      </c>
      <c r="AH11" s="398"/>
      <c r="AI11" s="398"/>
      <c r="AJ11" s="398"/>
      <c r="AK11" s="398"/>
      <c r="AL11" s="398"/>
      <c r="AM11" s="398"/>
      <c r="AN11" s="398"/>
      <c r="AO11" s="398"/>
      <c r="AP11" s="398"/>
      <c r="AQ11" s="398"/>
      <c r="AR11" s="398"/>
      <c r="AS11" s="398"/>
      <c r="AT11" s="398"/>
      <c r="AU11" s="398"/>
      <c r="AV11" s="398"/>
      <c r="AW11" s="398"/>
      <c r="AX11" s="398"/>
      <c r="AY11" s="398"/>
      <c r="AZ11" s="398"/>
      <c r="BA11" s="398"/>
      <c r="BB11" s="398"/>
      <c r="BC11" s="398"/>
      <c r="BD11" s="398"/>
    </row>
    <row r="12" spans="1:56" s="144" customFormat="1" ht="14" customHeight="1" x14ac:dyDescent="0.15">
      <c r="A12" s="1555" t="s">
        <v>546</v>
      </c>
      <c r="B12" s="1551" t="s">
        <v>538</v>
      </c>
      <c r="C12" s="1231" t="s">
        <v>268</v>
      </c>
      <c r="D12" s="845">
        <v>658.46918371224763</v>
      </c>
      <c r="E12" s="1393">
        <v>0.30000000000000004</v>
      </c>
      <c r="F12" s="1394">
        <f t="shared" si="6"/>
        <v>197.54075511367432</v>
      </c>
      <c r="G12" s="1332">
        <f>D12*6</f>
        <v>3950.8151022734855</v>
      </c>
      <c r="H12" s="841"/>
      <c r="I12" s="841"/>
      <c r="J12" s="841"/>
      <c r="K12" s="841"/>
      <c r="L12" s="841"/>
      <c r="M12" s="841"/>
      <c r="N12" s="841"/>
      <c r="O12" s="841"/>
      <c r="P12" s="842"/>
      <c r="Q12" s="841"/>
      <c r="R12" s="841"/>
      <c r="S12" s="1380" t="str">
        <f>IF(S5=0,"No",IF(AND(F12&gt;S6,G12&gt;S7), "Yes",IF(AND(F12&gt;S6,G12&lt;S7), "Downpayment",IF(AND(F12&lt;S6,G12&gt;S7), "Installment","No"))))</f>
        <v>No</v>
      </c>
      <c r="T12" s="1380" t="str">
        <f>IF(T5=0,"No",IF(AND(F12&gt;T6,G12&gt;T7), "Yes",IF(AND(F12&gt;T6,G12&lt;T7), "Downpayment",IF(AND(F12&lt;T6,G12&gt;T7), "Installment","No"))))</f>
        <v>No</v>
      </c>
      <c r="U12" s="1380" t="str">
        <f>IF(U5=0,"No",IF(AND(F12&gt;U6,G12&gt;U7), "Yes",IF(AND(F12&gt;U6,G12&lt;U7), "Downpayment",IF(AND(F12&lt;U6,G12&gt;U7), "Installment","No"))))</f>
        <v>No</v>
      </c>
      <c r="V12" s="1377" t="str">
        <f>IF(V5=0,"No",IF(AND(F12&gt;V6,G12&gt;V7), "Yes",IF(AND(F12&gt;V6,G12&lt;V7), "Downpayment",IF(AND(F12&lt;V6,G12&gt;V7), "Installment","No"))))</f>
        <v>No</v>
      </c>
      <c r="W12" s="1380" t="str">
        <f>IF(W5=0,"No",IF(AND(F12&gt;W6,G12&gt;W7), "Yes",IF(AND(F12&gt;W6,G12&lt;W7), "Downpayment",IF(AND(F12&lt;W6,G12&gt;W7), "Installment","No"))))</f>
        <v>No</v>
      </c>
      <c r="X12" s="1380" t="str">
        <f>IF(X5=0,"No",IF(AND(F12&gt;X6,G12&gt;X7), "Yes",IF(AND(F12&gt;X6,G12&lt;X7), "Downpayment",IF(AND(F12&lt;X6,G12&gt;X7), "Installment","No"))))</f>
        <v>No</v>
      </c>
      <c r="Y12" s="843" t="str">
        <f t="shared" si="7"/>
        <v>No</v>
      </c>
      <c r="Z12" s="844" t="str">
        <f t="shared" si="8"/>
        <v>decile 8</v>
      </c>
      <c r="AA12" s="398"/>
      <c r="AB12" s="1390">
        <f t="shared" si="0"/>
        <v>0</v>
      </c>
      <c r="AC12" s="1390">
        <f t="shared" si="1"/>
        <v>0</v>
      </c>
      <c r="AD12" s="1390">
        <f t="shared" si="2"/>
        <v>0</v>
      </c>
      <c r="AE12" s="1390">
        <f t="shared" si="3"/>
        <v>0</v>
      </c>
      <c r="AF12" s="1390">
        <f t="shared" si="4"/>
        <v>0</v>
      </c>
      <c r="AG12" s="1390">
        <f t="shared" si="5"/>
        <v>0</v>
      </c>
      <c r="AH12" s="398"/>
      <c r="AI12" s="398"/>
      <c r="AJ12" s="398"/>
      <c r="AK12" s="398"/>
      <c r="AL12" s="398"/>
      <c r="AM12" s="398"/>
      <c r="AN12" s="398"/>
      <c r="AO12" s="398"/>
      <c r="AP12" s="398"/>
      <c r="AQ12" s="398"/>
      <c r="AR12" s="398"/>
      <c r="AS12" s="398"/>
      <c r="AT12" s="398"/>
      <c r="AU12" s="398"/>
      <c r="AV12" s="398"/>
      <c r="AW12" s="398"/>
      <c r="AX12" s="398"/>
      <c r="AY12" s="398"/>
      <c r="AZ12" s="398"/>
      <c r="BA12" s="398"/>
      <c r="BB12" s="398"/>
      <c r="BC12" s="398"/>
      <c r="BD12" s="398"/>
    </row>
    <row r="13" spans="1:56" s="144" customFormat="1" ht="14" customHeight="1" x14ac:dyDescent="0.15">
      <c r="A13" s="1556"/>
      <c r="B13" s="1552"/>
      <c r="C13" s="1232" t="s">
        <v>269</v>
      </c>
      <c r="D13" s="660">
        <v>549.91075072185004</v>
      </c>
      <c r="E13" s="1395">
        <v>0.27500000000000002</v>
      </c>
      <c r="F13" s="1396">
        <f t="shared" si="6"/>
        <v>151.22545644850877</v>
      </c>
      <c r="G13" s="1334">
        <f>D13*5</f>
        <v>2749.5537536092502</v>
      </c>
      <c r="H13" s="676"/>
      <c r="I13" s="676"/>
      <c r="J13" s="676"/>
      <c r="K13" s="676"/>
      <c r="L13" s="676"/>
      <c r="M13" s="676"/>
      <c r="N13" s="676"/>
      <c r="O13" s="676"/>
      <c r="P13" s="677"/>
      <c r="Q13" s="676"/>
      <c r="R13" s="676"/>
      <c r="S13" s="1381" t="str">
        <f>IF(S5=0,"No",IF(AND(F13&gt;S6,G13&gt;S7), "Yes",IF(AND(F13&gt;S6,G13&lt;S7), "Downpayment",IF(AND(F13&lt;S6,G13&gt;S7), "Installment","No"))))</f>
        <v>No</v>
      </c>
      <c r="T13" s="1381" t="str">
        <f>IF(T5=0,"No",IF(AND(F13&gt;T6,G13&gt;T7), "Yes",IF(AND(F13&gt;T6,G13&lt;T7), "Downpayment",IF(AND(F13&lt;T6,G13&gt;T7), "Installment","No"))))</f>
        <v>No</v>
      </c>
      <c r="U13" s="1381" t="str">
        <f>IF(U5=0,"No",IF(AND(F13&gt;U6,G13&gt;U7), "Yes",IF(AND(F13&gt;U6,G13&lt;U7), "Downpayment",IF(AND(F13&lt;U6,G13&gt;U7), "Installment","No"))))</f>
        <v>No</v>
      </c>
      <c r="V13" s="1382" t="str">
        <f>IF(V5=0,"No",IF(AND(F13&gt;V6,G13&gt;V7), "Yes",IF(AND(F13&gt;V6,G13&lt;V7), "Downpayment",IF(AND(F13&lt;V6,G13&gt;V7), "Installment","No"))))</f>
        <v>No</v>
      </c>
      <c r="W13" s="1381" t="str">
        <f>IF(W5=0,"No",IF(AND(F13&gt;W6,G13&gt;W7), "Yes",IF(AND(F13&gt;W6,G13&lt;W7), "Downpayment",IF(AND(F13&lt;W6,G13&gt;W7), "Installment","No"))))</f>
        <v>No</v>
      </c>
      <c r="X13" s="1381" t="str">
        <f>IF(X5=0,"No",IF(AND(F13&gt;X6,G13&gt;X7), "Yes",IF(AND(F13&gt;X6,G13&lt;X7), "Downpayment",IF(AND(F13&lt;X6,G13&gt;X7), "Installment","No"))))</f>
        <v>No</v>
      </c>
      <c r="Y13" s="663" t="str">
        <f t="shared" si="7"/>
        <v>No</v>
      </c>
      <c r="Z13" s="664" t="str">
        <f t="shared" si="8"/>
        <v>decile 7</v>
      </c>
      <c r="AA13" s="398"/>
      <c r="AB13" s="1390">
        <f t="shared" si="0"/>
        <v>0</v>
      </c>
      <c r="AC13" s="1390">
        <f t="shared" si="1"/>
        <v>0</v>
      </c>
      <c r="AD13" s="1390">
        <f t="shared" si="2"/>
        <v>0</v>
      </c>
      <c r="AE13" s="1390">
        <f t="shared" si="3"/>
        <v>0</v>
      </c>
      <c r="AF13" s="1390">
        <f t="shared" si="4"/>
        <v>0</v>
      </c>
      <c r="AG13" s="1390">
        <f t="shared" si="5"/>
        <v>0</v>
      </c>
      <c r="AH13" s="398"/>
      <c r="AI13" s="398"/>
      <c r="AJ13" s="398"/>
      <c r="AK13" s="398"/>
      <c r="AL13" s="398"/>
      <c r="AM13" s="398"/>
      <c r="AN13" s="398"/>
      <c r="AO13" s="398"/>
      <c r="AP13" s="398"/>
      <c r="AQ13" s="398"/>
      <c r="AR13" s="398"/>
      <c r="AS13" s="398"/>
      <c r="AT13" s="398"/>
      <c r="AU13" s="398"/>
      <c r="AV13" s="398"/>
      <c r="AW13" s="398"/>
      <c r="AX13" s="398"/>
      <c r="AY13" s="398"/>
      <c r="AZ13" s="398"/>
      <c r="BA13" s="398"/>
      <c r="BB13" s="398"/>
      <c r="BC13" s="398"/>
      <c r="BD13" s="398"/>
    </row>
    <row r="14" spans="1:56" ht="14" customHeight="1" x14ac:dyDescent="0.15">
      <c r="A14" s="1556"/>
      <c r="B14" s="1553" t="s">
        <v>539</v>
      </c>
      <c r="C14" s="1125" t="s">
        <v>270</v>
      </c>
      <c r="D14" s="845">
        <v>468.0470143684355</v>
      </c>
      <c r="E14" s="1393">
        <v>0.25</v>
      </c>
      <c r="F14" s="659">
        <f t="shared" si="6"/>
        <v>117.01175359210887</v>
      </c>
      <c r="G14" s="1335">
        <f>D14*4</f>
        <v>1872.188057473742</v>
      </c>
      <c r="S14" s="1376" t="str">
        <f>IF(S5=0,"No",IF(AND(F14&gt;S6,G14&gt;S7), "Yes",IF(AND(F14&gt;S6,G14&lt;S7), "Downpayment",IF(AND(F14&lt;S6,G14&gt;S7), "Installment","No"))))</f>
        <v>No</v>
      </c>
      <c r="T14" s="1376" t="str">
        <f>IF(T5=0,"No",IF(AND(F14&gt;T6,G14&gt;T7), "Yes",IF(AND(F14&gt;T6,G14&lt;T7), "Downpayment",IF(AND(F14&lt;T6,G14&gt;T7), "Installment","No"))))</f>
        <v>No</v>
      </c>
      <c r="U14" s="1376" t="str">
        <f>IF(U5=0,"No",IF(AND(F14&gt;U6,G14&gt;U7), "Yes",IF(AND(F14&gt;U6,G14&lt;U7), "Downpayment",IF(AND(F14&lt;U6,G14&gt;U7), "Installment","No"))))</f>
        <v>No</v>
      </c>
      <c r="V14" s="1383" t="str">
        <f>IF(V5=0,"No",IF(AND(F14&gt;V6,G14&gt;V7), "Yes",IF(AND(F14&gt;V6,G14&lt;V7), "Downpayment",IF(AND(F14&lt;V6,G14&gt;V7), "Installment","No"))))</f>
        <v>No</v>
      </c>
      <c r="W14" s="1376" t="str">
        <f>IF(W5=0,"No",IF(AND(F14&gt;W6,G14&gt;W7), "Yes",IF(AND(F14&gt;W6,G14&lt;W7), "Downpayment",IF(AND(F14&lt;W6,G14&gt;W7), "Installment","No"))))</f>
        <v>No</v>
      </c>
      <c r="X14" s="1376" t="str">
        <f>IF(X5=0,"No",IF(AND(F14&gt;X6,G14&gt;X7), "Yes",IF(AND(F14&gt;X6,G14&lt;X7), "Downpayment",IF(AND(F14&lt;X6,G14&gt;X7), "Installment","No"))))</f>
        <v>No</v>
      </c>
      <c r="Y14" s="1388" t="str">
        <f t="shared" si="7"/>
        <v>No</v>
      </c>
      <c r="Z14" s="1389" t="str">
        <f t="shared" si="8"/>
        <v>decile 6</v>
      </c>
      <c r="AA14" s="398"/>
      <c r="AB14" s="1390">
        <f t="shared" si="0"/>
        <v>0</v>
      </c>
      <c r="AC14" s="1390">
        <f t="shared" si="1"/>
        <v>0</v>
      </c>
      <c r="AD14" s="1390">
        <f t="shared" si="2"/>
        <v>0</v>
      </c>
      <c r="AE14" s="1390">
        <f t="shared" si="3"/>
        <v>0</v>
      </c>
      <c r="AF14" s="1390">
        <f t="shared" si="4"/>
        <v>0</v>
      </c>
      <c r="AG14" s="1390">
        <f t="shared" si="5"/>
        <v>0</v>
      </c>
      <c r="AH14" s="398"/>
      <c r="AI14" s="398"/>
      <c r="AJ14" s="398"/>
      <c r="AK14" s="398"/>
      <c r="AL14" s="398"/>
      <c r="AM14" s="398"/>
      <c r="AN14" s="398"/>
      <c r="AO14" s="398"/>
      <c r="AP14" s="398"/>
      <c r="AQ14" s="398"/>
      <c r="AR14" s="398"/>
      <c r="AS14" s="398"/>
      <c r="AT14" s="398"/>
      <c r="AU14" s="398"/>
      <c r="AV14" s="398"/>
      <c r="AW14" s="398"/>
      <c r="AX14" s="398"/>
      <c r="AY14" s="398"/>
      <c r="AZ14" s="398"/>
      <c r="BA14" s="398"/>
      <c r="BB14" s="398"/>
      <c r="BC14" s="398"/>
      <c r="BD14" s="398"/>
    </row>
    <row r="15" spans="1:56" ht="14" customHeight="1" thickBot="1" x14ac:dyDescent="0.2">
      <c r="A15" s="1557"/>
      <c r="B15" s="1554"/>
      <c r="C15" s="1230" t="s">
        <v>271</v>
      </c>
      <c r="D15" s="661">
        <v>400.42044955474518</v>
      </c>
      <c r="E15" s="1391">
        <v>0.22500000000000001</v>
      </c>
      <c r="F15" s="1392">
        <f t="shared" si="6"/>
        <v>90.094601149817663</v>
      </c>
      <c r="G15" s="1333">
        <f>D15*3</f>
        <v>1201.2613486642356</v>
      </c>
      <c r="H15" s="667"/>
      <c r="I15" s="667"/>
      <c r="J15" s="667"/>
      <c r="K15" s="667"/>
      <c r="L15" s="667"/>
      <c r="M15" s="667"/>
      <c r="N15" s="667"/>
      <c r="O15" s="667"/>
      <c r="P15" s="667"/>
      <c r="Q15" s="668"/>
      <c r="R15" s="668"/>
      <c r="S15" s="1378" t="str">
        <f>IF(S5=0,"No",IF(AND(F15&gt;S6,G15&gt;S7), "Yes",IF(AND(F15&gt;S6,G15&lt;S7), "Downpayment",IF(AND(F15&lt;S6,G15&gt;S7), "Installment","No"))))</f>
        <v>No</v>
      </c>
      <c r="T15" s="1378" t="str">
        <f>IF(T5=0,"No",IF(AND(F15&gt;T6,G15&gt;T7), "Yes",IF(AND(F15&gt;T6,G15&lt;T7), "Downpayment",IF(AND(F15&lt;T6,G15&gt;T7), "Installment","No"))))</f>
        <v>No</v>
      </c>
      <c r="U15" s="1378" t="str">
        <f>IF(U5=0,"No",IF(AND(F15&gt;U6,G15&gt;U7), "Yes",IF(AND(F15&gt;U6,G15&lt;U7), "Downpayment",IF(AND(F15&lt;U6,G15&gt;U7), "Installment","No"))))</f>
        <v>No</v>
      </c>
      <c r="V15" s="1379" t="str">
        <f>IF(V5=0,"No",IF(AND(F15&gt;V6,G15&gt;V7), "Yes",IF(AND(F15&gt;V6,G15&lt;V7), "Downpayment",IF(AND(F15&lt;V6,G15&gt;V7), "Installment","No"))))</f>
        <v>No</v>
      </c>
      <c r="W15" s="1378" t="str">
        <f>IF(W5=0,"No",IF(AND(F15&gt;W6,G15&gt;W7), "Yes",IF(AND(F15&gt;W6,G15&lt;W7), "Downpayment",IF(AND(F15&lt;W6,G15&gt;W7), "Installment","No"))))</f>
        <v>No</v>
      </c>
      <c r="X15" s="1378" t="str">
        <f>IF(X5=0,"No",IF(AND(F15&gt;X6,G15&gt;X7), "Yes",IF(AND(F15&gt;X6,G15&lt;X7), "Downpayment",IF(AND(F15&lt;X6,G15&gt;X7), "Installment","No"))))</f>
        <v>No</v>
      </c>
      <c r="Y15" s="665" t="str">
        <f t="shared" si="7"/>
        <v>No</v>
      </c>
      <c r="Z15" s="666" t="str">
        <f t="shared" si="8"/>
        <v>decile 5</v>
      </c>
      <c r="AA15" s="398"/>
      <c r="AB15" s="1390">
        <f t="shared" si="0"/>
        <v>0</v>
      </c>
      <c r="AC15" s="1390">
        <f t="shared" si="1"/>
        <v>0</v>
      </c>
      <c r="AD15" s="1390">
        <f t="shared" si="2"/>
        <v>0</v>
      </c>
      <c r="AE15" s="1390">
        <f t="shared" si="3"/>
        <v>0</v>
      </c>
      <c r="AF15" s="1390">
        <f t="shared" si="4"/>
        <v>0</v>
      </c>
      <c r="AG15" s="1390">
        <f t="shared" si="5"/>
        <v>0</v>
      </c>
      <c r="AH15" s="398"/>
      <c r="AI15" s="398"/>
      <c r="AJ15" s="398"/>
      <c r="AK15" s="398"/>
      <c r="AL15" s="398"/>
      <c r="AM15" s="398"/>
      <c r="AN15" s="398"/>
      <c r="AO15" s="398"/>
      <c r="AP15" s="398"/>
      <c r="AQ15" s="398"/>
      <c r="AR15" s="398"/>
      <c r="AS15" s="398"/>
      <c r="AT15" s="398"/>
      <c r="AU15" s="398"/>
      <c r="AV15" s="398"/>
      <c r="AW15" s="398"/>
      <c r="AX15" s="398"/>
      <c r="AY15" s="398"/>
      <c r="AZ15" s="398"/>
      <c r="BA15" s="398"/>
      <c r="BB15" s="398"/>
      <c r="BC15" s="398"/>
      <c r="BD15" s="398"/>
    </row>
    <row r="16" spans="1:56" ht="14" customHeight="1" x14ac:dyDescent="0.15">
      <c r="A16" s="1544" t="s">
        <v>277</v>
      </c>
      <c r="B16" s="1548" t="s">
        <v>540</v>
      </c>
      <c r="C16" s="1125" t="s">
        <v>272</v>
      </c>
      <c r="D16" s="845">
        <v>350.59034916571022</v>
      </c>
      <c r="E16" s="1393">
        <v>0.19999999999999998</v>
      </c>
      <c r="F16" s="659">
        <f t="shared" si="6"/>
        <v>70.118069833142044</v>
      </c>
      <c r="G16" s="1335">
        <f>D16*2</f>
        <v>701.18069833142044</v>
      </c>
      <c r="S16" s="1376" t="str">
        <f>IF(S5=0,"No",IF(AND(F16&gt;S6,G16&gt;S7), "Yes",IF(AND(F16&gt;S6,G16&lt;S7), "Downpayment",IF(AND(F16&lt;S6,G16&gt;S7), "Installment","No"))))</f>
        <v>No</v>
      </c>
      <c r="T16" s="1376" t="str">
        <f>IF(T5=0,"No",IF(AND(F16&gt;T6,G16&gt;T7), "Yes",IF(AND(F16&gt;T6,G16&lt;T7), "Downpayment",IF(AND(F16&lt;T6,G16&gt;T7), "Installment","No"))))</f>
        <v>No</v>
      </c>
      <c r="U16" s="1376" t="str">
        <f>IF(U5=0,"No",IF(AND(F16&gt;U6,G16&gt;U7), "Yes",IF(AND(F16&gt;U6,G16&lt;U7), "Downpayment",IF(AND(F16&lt;U6,G16&gt;U7), "Installment","No"))))</f>
        <v>No</v>
      </c>
      <c r="V16" s="1383" t="str">
        <f>IF(V5=0,"No",IF(AND(F16&gt;V6,G16&gt;V7), "Yes",IF(AND(F16&gt;V6,G16&lt;V7), "Downpayment",IF(AND(F16&lt;V6,G16&gt;V7), "Installment","No"))))</f>
        <v>No</v>
      </c>
      <c r="W16" s="1376" t="str">
        <f>IF(W5=0,"No",IF(AND(F16&gt;W6,G16&gt;W7), "Yes",IF(AND(F16&gt;W6,G16&lt;W7), "Downpayment",IF(AND(F16&lt;W6,G16&gt;W7), "Installment","No"))))</f>
        <v>No</v>
      </c>
      <c r="X16" s="1376" t="str">
        <f>IF(X5=0,"No",IF(AND(F16&gt;X6,G16&gt;X7), "Yes",IF(AND(F16&gt;X6,G16&lt;X7), "Downpayment",IF(AND(F16&lt;X6,G16&gt;X7), "Installment","No"))))</f>
        <v>No</v>
      </c>
      <c r="Y16" s="1388" t="str">
        <f t="shared" si="7"/>
        <v>No</v>
      </c>
      <c r="Z16" s="1389" t="str">
        <f t="shared" si="8"/>
        <v>decile 4</v>
      </c>
      <c r="AA16" s="398"/>
      <c r="AB16" s="1390">
        <f t="shared" si="0"/>
        <v>0</v>
      </c>
      <c r="AC16" s="1390">
        <f t="shared" si="1"/>
        <v>0</v>
      </c>
      <c r="AD16" s="1390">
        <f t="shared" si="2"/>
        <v>0</v>
      </c>
      <c r="AE16" s="1390">
        <f t="shared" si="3"/>
        <v>0</v>
      </c>
      <c r="AF16" s="1390">
        <f t="shared" si="4"/>
        <v>0</v>
      </c>
      <c r="AG16" s="1390">
        <f t="shared" si="5"/>
        <v>0</v>
      </c>
      <c r="AH16" s="398"/>
      <c r="AI16" s="398"/>
      <c r="AJ16" s="398"/>
      <c r="AK16" s="398"/>
      <c r="AL16" s="398"/>
      <c r="AM16" s="398"/>
      <c r="AN16" s="398"/>
      <c r="AO16" s="398"/>
      <c r="AP16" s="398"/>
      <c r="AQ16" s="398"/>
      <c r="AR16" s="398"/>
      <c r="AS16" s="398"/>
      <c r="AT16" s="398"/>
      <c r="AU16" s="398"/>
      <c r="AV16" s="398"/>
      <c r="AW16" s="398"/>
      <c r="AX16" s="398"/>
      <c r="AY16" s="398"/>
      <c r="AZ16" s="398"/>
      <c r="BA16" s="398"/>
      <c r="BB16" s="398"/>
      <c r="BC16" s="398"/>
      <c r="BD16" s="398"/>
    </row>
    <row r="17" spans="1:56" ht="14" customHeight="1" x14ac:dyDescent="0.15">
      <c r="A17" s="1544"/>
      <c r="B17" s="1549"/>
      <c r="C17" s="1232" t="s">
        <v>273</v>
      </c>
      <c r="D17" s="660">
        <v>298.98060233420978</v>
      </c>
      <c r="E17" s="1395">
        <v>0.17499999999999999</v>
      </c>
      <c r="F17" s="1396">
        <f t="shared" si="6"/>
        <v>52.321605408486711</v>
      </c>
      <c r="G17" s="1334">
        <f>D17*2</f>
        <v>597.96120466841955</v>
      </c>
      <c r="H17" s="670"/>
      <c r="I17" s="670"/>
      <c r="J17" s="670"/>
      <c r="K17" s="670"/>
      <c r="L17" s="670"/>
      <c r="M17" s="670"/>
      <c r="N17" s="670"/>
      <c r="O17" s="670"/>
      <c r="P17" s="670"/>
      <c r="Q17" s="671"/>
      <c r="R17" s="671"/>
      <c r="S17" s="1381" t="str">
        <f>IF(S5=0,"No",IF(AND(F17&gt;S6,G17&gt;S7), "Yes",IF(AND(F17&gt;S6,G17&lt;S7), "Downpayment",IF(AND(F17&lt;S6,G17&gt;S7), "Installment","No"))))</f>
        <v>No</v>
      </c>
      <c r="T17" s="1381" t="str">
        <f>IF(T5=0,"No",IF(AND(F17&gt;T6,G17&gt;T7), "Yes",IF(AND(F17&gt;T6,G17&lt;T7), "Downpayment",IF(AND(F17&lt;T6,G17&gt;T7), "Installment","No"))))</f>
        <v>No</v>
      </c>
      <c r="U17" s="1381" t="str">
        <f>IF(U5=0,"No",IF(AND(F17&gt;U6,G17&gt;U7), "Yes",IF(AND(F17&gt;U6,G17&lt;U7), "Downpayment",IF(AND(F17&lt;U6,G17&gt;U7), "Installment","No"))))</f>
        <v>No</v>
      </c>
      <c r="V17" s="1382" t="str">
        <f>IF(V5=0,"No",IF(AND(F17&gt;V6,G17&gt;V7), "Yes",IF(AND(F17&gt;V6,G17&lt;V7), "Downpayment",IF(AND(F17&lt;V6,G17&gt;V7), "Installment","No"))))</f>
        <v>No</v>
      </c>
      <c r="W17" s="1381" t="str">
        <f>IF(W5=0,"No",IF(AND(F17&gt;W6,G17&gt;W7), "Yes",IF(AND(F17&gt;W6,G17&lt;W7), "Downpayment",IF(AND(F17&lt;W6,G17&gt;W7), "Installment","No"))))</f>
        <v>No</v>
      </c>
      <c r="X17" s="1381" t="str">
        <f>IF(X5=0,"No",IF(AND(F17&gt;X6,G17&gt;X7), "Yes",IF(AND(F17&gt;X6,G17&lt;X7), "Downpayment",IF(AND(F17&lt;X6,G17&gt;X7), "Installment","No"))))</f>
        <v>No</v>
      </c>
      <c r="Y17" s="663" t="str">
        <f t="shared" si="7"/>
        <v>No</v>
      </c>
      <c r="Z17" s="664" t="str">
        <f t="shared" si="8"/>
        <v>decile 3</v>
      </c>
      <c r="AA17" s="398"/>
      <c r="AB17" s="1390">
        <f t="shared" si="0"/>
        <v>0</v>
      </c>
      <c r="AC17" s="1390">
        <f t="shared" si="1"/>
        <v>0</v>
      </c>
      <c r="AD17" s="1390">
        <f t="shared" si="2"/>
        <v>0</v>
      </c>
      <c r="AE17" s="1390">
        <f t="shared" si="3"/>
        <v>0</v>
      </c>
      <c r="AF17" s="1390">
        <f t="shared" si="4"/>
        <v>0</v>
      </c>
      <c r="AG17" s="1390">
        <f t="shared" si="5"/>
        <v>0</v>
      </c>
      <c r="AH17" s="398"/>
      <c r="AI17" s="398"/>
      <c r="AJ17" s="398"/>
      <c r="AK17" s="398"/>
      <c r="AL17" s="398"/>
      <c r="AM17" s="398"/>
      <c r="AN17" s="398"/>
      <c r="AO17" s="398"/>
      <c r="AP17" s="398"/>
      <c r="AQ17" s="398"/>
      <c r="AR17" s="398"/>
      <c r="AS17" s="398"/>
      <c r="AT17" s="398"/>
      <c r="AU17" s="398"/>
      <c r="AV17" s="398"/>
      <c r="AW17" s="398"/>
      <c r="AX17" s="398"/>
      <c r="AY17" s="398"/>
      <c r="AZ17" s="398"/>
      <c r="BA17" s="398"/>
      <c r="BB17" s="398"/>
      <c r="BC17" s="398"/>
      <c r="BD17" s="398"/>
    </row>
    <row r="18" spans="1:56" ht="14" customHeight="1" x14ac:dyDescent="0.15">
      <c r="A18" s="1544"/>
      <c r="B18" s="1553" t="s">
        <v>541</v>
      </c>
      <c r="C18" s="1233" t="s">
        <v>274</v>
      </c>
      <c r="D18" s="845">
        <v>256.2690877150369</v>
      </c>
      <c r="E18" s="1393">
        <v>0.15</v>
      </c>
      <c r="F18" s="1397">
        <f t="shared" si="6"/>
        <v>38.440363157255533</v>
      </c>
      <c r="G18" s="1336">
        <f>D18*1</f>
        <v>256.2690877150369</v>
      </c>
      <c r="H18" s="672"/>
      <c r="I18" s="672"/>
      <c r="J18" s="672"/>
      <c r="K18" s="672"/>
      <c r="L18" s="672"/>
      <c r="M18" s="672"/>
      <c r="N18" s="672"/>
      <c r="O18" s="672"/>
      <c r="P18" s="672"/>
      <c r="Q18" s="673"/>
      <c r="R18" s="673"/>
      <c r="S18" s="1384" t="str">
        <f>IF(S5=0,"No",IF(AND(F18&gt;S6,G18&gt;S7), "Yes",IF(AND(F18&gt;S6,G18&lt;S7), "Downpayment",IF(AND(F18&lt;S6,G18&gt;S7), "Installment","No"))))</f>
        <v>No</v>
      </c>
      <c r="T18" s="1384" t="str">
        <f>IF(T5=0,"No",IF(AND(F18&gt;T6,G18&gt;T7), "Yes",IF(AND(F18&gt;T6,G18&lt;T7), "Downpayment",IF(AND(F18&lt;T6,G18&gt;T7), "Installment","No"))))</f>
        <v>No</v>
      </c>
      <c r="U18" s="1384" t="str">
        <f>IF(U5=0,"No",IF(AND(F18&gt;U6,G18&gt;U7), "Yes",IF(AND(F18&gt;U6,G18&lt;U7), "Downpayment",IF(AND(F18&lt;U6,G18&gt;U7), "Installment","No"))))</f>
        <v>No</v>
      </c>
      <c r="V18" s="1385" t="str">
        <f>IF(V5=0,"No",IF(AND(F18&gt;V6,G18&gt;V7), "Yes",IF(AND(F18&gt;V6,G18&lt;V7), "Downpayment",IF(AND(F18&lt;V6,G18&gt;V7), "Installment","No"))))</f>
        <v>No</v>
      </c>
      <c r="W18" s="1384" t="str">
        <f>IF(W5=0,"No",IF(AND(F18&gt;W6,G18&gt;W7), "Yes",IF(AND(F18&gt;W6,G18&lt;W7), "Downpayment",IF(AND(F18&lt;W6,G18&gt;W7), "Installment","No"))))</f>
        <v>No</v>
      </c>
      <c r="X18" s="1384" t="str">
        <f>IF(X5=0,"No",IF(AND(F18&gt;X6,G18&gt;X7), "Yes",IF(AND(F18&gt;X6,G18&lt;X7), "Downpayment",IF(AND(F18&lt;X6,G18&gt;X7), "Installment","No"))))</f>
        <v>No</v>
      </c>
      <c r="Y18" s="674" t="str">
        <f t="shared" si="7"/>
        <v>No</v>
      </c>
      <c r="Z18" s="675" t="str">
        <f t="shared" si="8"/>
        <v>decile 2</v>
      </c>
      <c r="AA18" s="398"/>
      <c r="AB18" s="1390">
        <f t="shared" si="0"/>
        <v>0</v>
      </c>
      <c r="AC18" s="1390">
        <f t="shared" si="1"/>
        <v>0</v>
      </c>
      <c r="AD18" s="1390">
        <f t="shared" si="2"/>
        <v>0</v>
      </c>
      <c r="AE18" s="1390">
        <f t="shared" si="3"/>
        <v>0</v>
      </c>
      <c r="AF18" s="1390">
        <f t="shared" si="4"/>
        <v>0</v>
      </c>
      <c r="AG18" s="1390">
        <f t="shared" si="5"/>
        <v>0</v>
      </c>
      <c r="AH18" s="398"/>
      <c r="AI18" s="398"/>
      <c r="AJ18" s="398"/>
      <c r="AK18" s="398"/>
      <c r="AL18" s="398"/>
      <c r="AM18" s="398"/>
      <c r="AN18" s="398"/>
      <c r="AO18" s="398"/>
      <c r="AP18" s="398"/>
      <c r="AQ18" s="398"/>
      <c r="AR18" s="398"/>
      <c r="AS18" s="398"/>
      <c r="AT18" s="398"/>
      <c r="AU18" s="398"/>
      <c r="AV18" s="398"/>
      <c r="AW18" s="398"/>
      <c r="AX18" s="398"/>
      <c r="AY18" s="398"/>
      <c r="AZ18" s="398"/>
      <c r="BA18" s="398"/>
      <c r="BB18" s="398"/>
      <c r="BC18" s="398"/>
      <c r="BD18" s="398"/>
    </row>
    <row r="19" spans="1:56" ht="14" customHeight="1" thickBot="1" x14ac:dyDescent="0.2">
      <c r="A19" s="1545"/>
      <c r="B19" s="1550"/>
      <c r="C19" s="1230" t="s">
        <v>275</v>
      </c>
      <c r="D19" s="661">
        <v>201.10004799860536</v>
      </c>
      <c r="E19" s="1391">
        <v>0.125</v>
      </c>
      <c r="F19" s="1392">
        <f t="shared" si="6"/>
        <v>25.13750599982567</v>
      </c>
      <c r="G19" s="1333">
        <f>D19*1</f>
        <v>201.10004799860536</v>
      </c>
      <c r="H19" s="667"/>
      <c r="I19" s="667"/>
      <c r="J19" s="667"/>
      <c r="K19" s="667"/>
      <c r="L19" s="667"/>
      <c r="M19" s="667"/>
      <c r="N19" s="667"/>
      <c r="O19" s="667"/>
      <c r="P19" s="667"/>
      <c r="Q19" s="668"/>
      <c r="R19" s="668"/>
      <c r="S19" s="1378" t="str">
        <f>IF(S5=0,"No",IF(AND(F19&gt;S6,G19&gt;S7), "Yes",IF(AND(F19&gt;S6,G19&lt;S7), "Downpayment",IF(AND(F19&lt;S6,G19&gt;S7), "Installment","No"))))</f>
        <v>No</v>
      </c>
      <c r="T19" s="1378" t="str">
        <f>IF(T5=0,"No",IF(AND(F19&gt;T6,G19&gt;T7), "Yes",IF(AND(F19&gt;T6,G19&lt;T7), "Downpayment",IF(AND(F19&lt;T6,G19&gt;T7), "Installment","No"))))</f>
        <v>No</v>
      </c>
      <c r="U19" s="1378" t="str">
        <f>IF(U5=0,"No",IF(AND(F19&gt;U6,G19&gt;U7), "Yes",IF(AND(F19&gt;U6,G19&lt;U7), "Downpayment",IF(AND(F19&lt;U6,G19&gt;U7), "Installment","No"))))</f>
        <v>No</v>
      </c>
      <c r="V19" s="1379" t="str">
        <f>IF(V5=0,"No",IF(AND(F19&gt;V6,G19&gt;V7), "Yes",IF(AND(F19&gt;V6,G19&lt;V7), "Downpayment",IF(AND(F19&lt;V6,G19&gt;V7), "Installment","No"))))</f>
        <v>No</v>
      </c>
      <c r="W19" s="1378" t="str">
        <f>IF(W5=0,"No",IF(AND(F19&gt;W6,G19&gt;W7), "Yes",IF(AND(F19&gt;W6,G19&lt;W7), "Downpayment",IF(AND(F19&lt;W6,G19&gt;W7), "Installment","No"))))</f>
        <v>No</v>
      </c>
      <c r="X19" s="1378" t="str">
        <f>IF(X5=0,"No",IF(AND(F19&gt;X6,G19&gt;X7), "Yes",IF(AND(F19&gt;X6,G19&lt;X7), "Downpayment",IF(AND(F19&lt;X6,G19&gt;X7), "Installment","No"))))</f>
        <v>No</v>
      </c>
      <c r="Y19" s="665" t="str">
        <f t="shared" si="7"/>
        <v>No</v>
      </c>
      <c r="Z19" s="666" t="str">
        <f t="shared" si="8"/>
        <v>decile 1</v>
      </c>
      <c r="AA19" s="398"/>
      <c r="AB19" s="1390">
        <f t="shared" si="0"/>
        <v>0</v>
      </c>
      <c r="AC19" s="1390">
        <f t="shared" si="1"/>
        <v>0</v>
      </c>
      <c r="AD19" s="1390">
        <f t="shared" si="2"/>
        <v>0</v>
      </c>
      <c r="AE19" s="1390">
        <f t="shared" si="3"/>
        <v>0</v>
      </c>
      <c r="AF19" s="1390">
        <f t="shared" si="4"/>
        <v>0</v>
      </c>
      <c r="AG19" s="1390">
        <f t="shared" si="5"/>
        <v>0</v>
      </c>
      <c r="AH19" s="398"/>
      <c r="AI19" s="398"/>
      <c r="AJ19" s="398"/>
      <c r="AK19" s="398"/>
      <c r="AL19" s="398"/>
      <c r="AM19" s="398"/>
      <c r="AN19" s="398"/>
      <c r="AO19" s="398"/>
      <c r="AP19" s="398"/>
      <c r="AQ19" s="398"/>
      <c r="AR19" s="398"/>
      <c r="AS19" s="398"/>
      <c r="AT19" s="398"/>
      <c r="AU19" s="398"/>
      <c r="AV19" s="398"/>
      <c r="AW19" s="398"/>
      <c r="AX19" s="398"/>
      <c r="AY19" s="398"/>
      <c r="AZ19" s="398"/>
      <c r="BA19" s="398"/>
      <c r="BB19" s="398"/>
      <c r="BC19" s="398"/>
      <c r="BD19" s="398"/>
    </row>
    <row r="20" spans="1:56" ht="14" customHeight="1" thickBot="1" x14ac:dyDescent="0.2">
      <c r="A20" s="399"/>
      <c r="B20" s="399"/>
      <c r="C20" s="395"/>
      <c r="D20" s="395"/>
      <c r="E20" s="395"/>
      <c r="F20" s="395"/>
      <c r="AA20" s="398"/>
      <c r="AB20" s="905"/>
      <c r="AC20" s="905"/>
      <c r="AD20" s="905"/>
      <c r="AE20" s="905"/>
      <c r="AF20" s="905"/>
      <c r="AG20" s="905"/>
    </row>
    <row r="21" spans="1:56" ht="14" customHeight="1" thickBot="1" x14ac:dyDescent="0.2">
      <c r="A21" s="1536" t="s">
        <v>474</v>
      </c>
      <c r="B21" s="1536"/>
      <c r="C21" s="1536"/>
      <c r="D21" s="1536"/>
      <c r="E21" s="1536"/>
      <c r="F21" s="1537" t="s">
        <v>281</v>
      </c>
      <c r="G21" s="1538"/>
      <c r="H21" s="1234"/>
      <c r="I21" s="1234"/>
      <c r="J21" s="1234"/>
      <c r="K21" s="1234"/>
      <c r="L21" s="1234"/>
      <c r="M21" s="1234"/>
      <c r="N21" s="1234"/>
      <c r="O21" s="1234"/>
      <c r="P21" s="1234"/>
      <c r="Q21" s="1235"/>
      <c r="R21" s="1235"/>
      <c r="S21" s="847">
        <f>AB21</f>
        <v>0</v>
      </c>
      <c r="T21" s="847">
        <f t="shared" ref="T21:X22" si="9">AC21</f>
        <v>0</v>
      </c>
      <c r="U21" s="847">
        <f t="shared" si="9"/>
        <v>0</v>
      </c>
      <c r="V21" s="902">
        <f t="shared" si="9"/>
        <v>0</v>
      </c>
      <c r="W21" s="847">
        <f t="shared" si="9"/>
        <v>0</v>
      </c>
      <c r="X21" s="847">
        <f t="shared" si="9"/>
        <v>0</v>
      </c>
      <c r="Y21" s="1530">
        <f>MAX(S21:X21)</f>
        <v>0</v>
      </c>
      <c r="Z21" s="1531"/>
      <c r="AB21" s="1390">
        <f>SUM(AB10:AB19)</f>
        <v>0</v>
      </c>
      <c r="AC21" s="1390">
        <f t="shared" ref="AC21:AG21" si="10">SUM(AC10:AC19)</f>
        <v>0</v>
      </c>
      <c r="AD21" s="1390">
        <f t="shared" si="10"/>
        <v>0</v>
      </c>
      <c r="AE21" s="1390">
        <f t="shared" si="10"/>
        <v>0</v>
      </c>
      <c r="AF21" s="1390">
        <f t="shared" si="10"/>
        <v>0</v>
      </c>
      <c r="AG21" s="1390">
        <f t="shared" si="10"/>
        <v>0</v>
      </c>
    </row>
    <row r="22" spans="1:56" ht="14" customHeight="1" thickBot="1" x14ac:dyDescent="0.2">
      <c r="A22" s="1536"/>
      <c r="B22" s="1536"/>
      <c r="C22" s="1536"/>
      <c r="D22" s="1536"/>
      <c r="E22" s="1536"/>
      <c r="F22" s="1539" t="s">
        <v>282</v>
      </c>
      <c r="G22" s="1540"/>
      <c r="H22" s="1234"/>
      <c r="I22" s="1234"/>
      <c r="J22" s="1234"/>
      <c r="K22" s="1234"/>
      <c r="L22" s="1234"/>
      <c r="M22" s="1234"/>
      <c r="N22" s="1234"/>
      <c r="O22" s="1234"/>
      <c r="P22" s="1234"/>
      <c r="Q22" s="1235"/>
      <c r="R22" s="1235"/>
      <c r="S22" s="848">
        <f>AB22</f>
        <v>1</v>
      </c>
      <c r="T22" s="848">
        <f t="shared" si="9"/>
        <v>1</v>
      </c>
      <c r="U22" s="848">
        <f t="shared" si="9"/>
        <v>1</v>
      </c>
      <c r="V22" s="903">
        <f t="shared" si="9"/>
        <v>1</v>
      </c>
      <c r="W22" s="848">
        <f t="shared" si="9"/>
        <v>1</v>
      </c>
      <c r="X22" s="848">
        <f t="shared" si="9"/>
        <v>1</v>
      </c>
      <c r="Y22" s="1532">
        <f>1-Y21</f>
        <v>1</v>
      </c>
      <c r="Z22" s="1533"/>
      <c r="AB22" s="1390">
        <f>1-AB21</f>
        <v>1</v>
      </c>
      <c r="AC22" s="1390">
        <f t="shared" ref="AC22:AG22" si="11">1-AC21</f>
        <v>1</v>
      </c>
      <c r="AD22" s="1390">
        <f t="shared" si="11"/>
        <v>1</v>
      </c>
      <c r="AE22" s="1390">
        <f t="shared" si="11"/>
        <v>1</v>
      </c>
      <c r="AF22" s="1390">
        <f t="shared" si="11"/>
        <v>1</v>
      </c>
      <c r="AG22" s="1390">
        <f t="shared" si="11"/>
        <v>1</v>
      </c>
    </row>
    <row r="23" spans="1:56" ht="14" customHeight="1" x14ac:dyDescent="0.15">
      <c r="AB23" s="905"/>
      <c r="AC23" s="905"/>
      <c r="AD23" s="905"/>
      <c r="AE23" s="905"/>
      <c r="AF23" s="905"/>
      <c r="AG23" s="905"/>
    </row>
    <row r="24" spans="1:56" ht="14" customHeight="1" x14ac:dyDescent="0.15">
      <c r="AB24" s="905"/>
      <c r="AC24" s="905"/>
      <c r="AD24" s="905"/>
      <c r="AE24" s="905"/>
      <c r="AF24" s="905"/>
      <c r="AG24" s="905"/>
    </row>
    <row r="25" spans="1:56" ht="14" customHeight="1" x14ac:dyDescent="0.15">
      <c r="AB25" s="905"/>
      <c r="AC25" s="905"/>
      <c r="AD25" s="905"/>
      <c r="AE25" s="905"/>
      <c r="AF25" s="905"/>
      <c r="AG25" s="905"/>
    </row>
    <row r="26" spans="1:56" ht="35" customHeight="1" thickBot="1" x14ac:dyDescent="0.2">
      <c r="A26" s="1541" t="s">
        <v>494</v>
      </c>
      <c r="B26" s="1541"/>
      <c r="C26" s="1541"/>
      <c r="D26" s="1541"/>
      <c r="E26" s="1541"/>
      <c r="F26" s="1541"/>
      <c r="G26" s="1542"/>
      <c r="H26" s="271"/>
      <c r="I26" s="272"/>
      <c r="J26" s="273"/>
      <c r="K26" s="1543"/>
      <c r="L26" s="1543"/>
      <c r="M26" s="274"/>
      <c r="N26" s="275"/>
      <c r="O26" s="276"/>
      <c r="P26" s="277"/>
      <c r="Q26" s="277"/>
      <c r="R26" s="274"/>
      <c r="S26" s="409" t="s">
        <v>625</v>
      </c>
      <c r="T26" s="410" t="s">
        <v>475</v>
      </c>
      <c r="U26" s="410" t="s">
        <v>626</v>
      </c>
      <c r="V26" s="508" t="s">
        <v>629</v>
      </c>
      <c r="W26" s="411" t="s">
        <v>623</v>
      </c>
      <c r="X26" s="1411" t="s">
        <v>624</v>
      </c>
      <c r="AB26" s="905"/>
      <c r="AC26" s="905"/>
      <c r="AD26" s="905"/>
      <c r="AE26" s="905"/>
      <c r="AF26" s="905"/>
      <c r="AG26" s="905"/>
    </row>
    <row r="27" spans="1:56" s="145" customFormat="1" ht="14" customHeight="1" thickBot="1" x14ac:dyDescent="0.2">
      <c r="D27" s="1407"/>
      <c r="E27" s="1407"/>
      <c r="F27" s="1407"/>
      <c r="G27" s="1408" t="s">
        <v>599</v>
      </c>
      <c r="H27" s="1407"/>
      <c r="I27" s="1407"/>
      <c r="J27" s="1407"/>
      <c r="K27" s="1407"/>
      <c r="L27" s="1407"/>
      <c r="M27" s="1407"/>
      <c r="N27" s="1407"/>
      <c r="O27" s="1407"/>
      <c r="P27" s="1407"/>
      <c r="Q27" s="1407"/>
      <c r="R27" s="1407"/>
      <c r="S27" s="1409">
        <f>IF('5dwellings'!M19=0,0,IF('5dwellings'!M15&gt;0,IF('5dwellings'!M16&gt;0,MIN('5dwellings'!M15:M16),'5dwellings'!M15),'5dwellings'!M16))</f>
        <v>0</v>
      </c>
      <c r="T27" s="1409">
        <f>IF('5dwellings'!N19=0,0,IF('5dwellings'!N15&gt;0,IF('5dwellings'!N16&gt;0,MIN('5dwellings'!N15:N16),'5dwellings'!N15),'5dwellings'!N16))</f>
        <v>0</v>
      </c>
      <c r="U27" s="1409">
        <f>IF('5dwellings'!O19=0,0,IF('5dwellings'!O15&gt;0,IF('5dwellings'!O16&gt;0,MIN('5dwellings'!O15:O16),'5dwellings'!O15),'5dwellings'!O16))</f>
        <v>0</v>
      </c>
      <c r="V27" s="1410">
        <f>IF('5dwellings'!P19=0,0,IF('5dwellings'!P15&gt;0,IF('5dwellings'!P16&gt;0,MIN('5dwellings'!P15:P16),'5dwellings'!P15),'5dwellings'!P16))</f>
        <v>0</v>
      </c>
      <c r="W27" s="1409">
        <f>IF('5dwellings'!Q19=0,0,IF('5dwellings'!Q15&gt;0,IF('5dwellings'!Q16&gt;0,MIN('5dwellings'!Q15:Q16),'5dwellings'!Q15),'5dwellings'!Q16))</f>
        <v>0</v>
      </c>
      <c r="X27" s="1409">
        <f>IF('5dwellings'!R19=0,0,IF('5dwellings'!R15&gt;0,IF('5dwellings'!R16&gt;0,MIN('5dwellings'!R15:R16),'5dwellings'!R15),'5dwellings'!R16))</f>
        <v>0</v>
      </c>
    </row>
    <row r="28" spans="1:56" ht="14" customHeight="1" thickTop="1" thickBot="1" x14ac:dyDescent="0.2">
      <c r="A28" s="654"/>
      <c r="B28" s="654"/>
      <c r="C28" s="654"/>
      <c r="D28" s="654"/>
      <c r="E28" s="654"/>
      <c r="F28" s="654"/>
      <c r="G28" s="662" t="s">
        <v>470</v>
      </c>
      <c r="H28" s="656"/>
      <c r="I28" s="656"/>
      <c r="J28" s="656"/>
      <c r="K28" s="656"/>
      <c r="L28" s="656"/>
      <c r="M28" s="656"/>
      <c r="N28" s="656"/>
      <c r="O28" s="656"/>
      <c r="P28" s="657"/>
      <c r="Q28" s="658"/>
      <c r="R28" s="656"/>
      <c r="S28" s="383" t="str">
        <f>IF(S27=0,"n/a",S27*'5rental'!M11)</f>
        <v>n/a</v>
      </c>
      <c r="T28" s="383" t="str">
        <f>IF(T27=0,"n/a",T27*'5rental'!N11)</f>
        <v>n/a</v>
      </c>
      <c r="U28" s="383" t="str">
        <f>IF(U27=0,"n/a",U27*'5rental'!O11)</f>
        <v>n/a</v>
      </c>
      <c r="V28" s="926" t="str">
        <f>IF(V27=0,"n/a",V27*'5rental'!P11)</f>
        <v>n/a</v>
      </c>
      <c r="W28" s="383" t="str">
        <f>IF(W27=0,"n/a",W27*'5rental'!Q11)</f>
        <v>n/a</v>
      </c>
      <c r="X28" s="383" t="str">
        <f>IF(X27=0,"n/a",X27*'5rental'!R11)</f>
        <v>n/a</v>
      </c>
      <c r="AB28" s="905"/>
      <c r="AC28" s="905"/>
      <c r="AD28" s="905"/>
      <c r="AE28" s="905"/>
      <c r="AF28" s="905"/>
      <c r="AG28" s="905"/>
    </row>
    <row r="29" spans="1:56" ht="14" customHeight="1" thickTop="1" x14ac:dyDescent="0.15">
      <c r="AB29" s="905"/>
      <c r="AC29" s="905"/>
      <c r="AD29" s="905"/>
      <c r="AE29" s="905"/>
      <c r="AF29" s="905"/>
      <c r="AG29" s="905"/>
    </row>
    <row r="30" spans="1:56" s="398" customFormat="1" ht="40" customHeight="1" thickBot="1" x14ac:dyDescent="0.2">
      <c r="A30" s="1375"/>
      <c r="B30" s="1375"/>
      <c r="C30" s="400" t="s">
        <v>265</v>
      </c>
      <c r="D30" s="400" t="s">
        <v>80</v>
      </c>
      <c r="E30" s="1546" t="s">
        <v>280</v>
      </c>
      <c r="F30" s="1546"/>
      <c r="G30" s="402" t="s">
        <v>655</v>
      </c>
      <c r="S30" s="1547" t="s">
        <v>471</v>
      </c>
      <c r="T30" s="1547"/>
      <c r="U30" s="1547"/>
      <c r="V30" s="1547"/>
      <c r="W30" s="1547"/>
      <c r="X30" s="1547"/>
      <c r="Y30" s="669" t="s">
        <v>283</v>
      </c>
      <c r="Z30" s="669"/>
      <c r="AB30" s="906"/>
      <c r="AC30" s="906"/>
      <c r="AD30" s="906"/>
      <c r="AE30" s="906"/>
      <c r="AF30" s="906"/>
      <c r="AG30" s="906"/>
    </row>
    <row r="31" spans="1:56" ht="14" customHeight="1" x14ac:dyDescent="0.15">
      <c r="A31" s="1534" t="s">
        <v>547</v>
      </c>
      <c r="B31" s="1548" t="str">
        <f>B14</f>
        <v>lower middle income 
(e.g. quintile 3)</v>
      </c>
      <c r="C31" s="1233" t="str">
        <f>C14</f>
        <v>decile 6</v>
      </c>
      <c r="D31" s="660">
        <f>D14</f>
        <v>468.0470143684355</v>
      </c>
      <c r="E31" s="1395">
        <v>0.25</v>
      </c>
      <c r="F31" s="659">
        <f t="shared" ref="F31:F32" si="12">E31*D31</f>
        <v>117.01175359210887</v>
      </c>
      <c r="G31" s="1398" t="s">
        <v>654</v>
      </c>
      <c r="H31" s="1244"/>
      <c r="I31" s="1244"/>
      <c r="J31" s="1244"/>
      <c r="K31" s="1244"/>
      <c r="L31" s="1244"/>
      <c r="M31" s="1244"/>
      <c r="N31" s="1244"/>
      <c r="O31" s="1244"/>
      <c r="P31" s="1244"/>
      <c r="Q31" s="363"/>
      <c r="R31" s="363"/>
      <c r="S31" s="1376" t="str">
        <f>IF(S27=0,"No",IF(S28=0,"No",IF(S28&lt;F31,"Yes","No")))</f>
        <v>No</v>
      </c>
      <c r="T31" s="1376" t="str">
        <f>IF(T27=0,"No",IF(T28=0,"No",IF(T28&lt;F31,"Yes","No")))</f>
        <v>No</v>
      </c>
      <c r="U31" s="1376" t="str">
        <f>IF(U27=0,"No",IF(U28=0,"No",IF(U28&lt;F31,"Yes","No")))</f>
        <v>No</v>
      </c>
      <c r="V31" s="1377" t="str">
        <f>IF(V27=0,"No",IF(V28=0,"No",IF(V28&lt;F31,"Yes","No")))</f>
        <v>No</v>
      </c>
      <c r="W31" s="1376" t="str">
        <f>IF(W27=0,"No",IF(W28=0,"No",IF(W28&lt;F31,"Yes","No")))</f>
        <v>No</v>
      </c>
      <c r="X31" s="1376" t="str">
        <f>IF(X27=0,"No",IF(X28=0,"No",IF(X28&lt;F31,"Yes","No")))</f>
        <v>No</v>
      </c>
      <c r="Y31" s="1399" t="str">
        <f t="shared" ref="Y31:Y32" si="13">IF(COUNTIF(S31:X31,"Yes")&gt;0,"Yes","No")</f>
        <v>No</v>
      </c>
      <c r="Z31" s="1400" t="str">
        <f t="shared" ref="Z31:Z32" si="14">C31</f>
        <v>decile 6</v>
      </c>
      <c r="AA31" s="398"/>
      <c r="AB31" s="1390">
        <f t="shared" ref="AB31:AG36" si="15">IF(S31="Yes",0.1,0)</f>
        <v>0</v>
      </c>
      <c r="AC31" s="1390">
        <f t="shared" si="15"/>
        <v>0</v>
      </c>
      <c r="AD31" s="1390">
        <f t="shared" si="15"/>
        <v>0</v>
      </c>
      <c r="AE31" s="1390">
        <f t="shared" si="15"/>
        <v>0</v>
      </c>
      <c r="AF31" s="1390">
        <f t="shared" si="15"/>
        <v>0</v>
      </c>
      <c r="AG31" s="1390">
        <f t="shared" si="15"/>
        <v>0</v>
      </c>
    </row>
    <row r="32" spans="1:56" ht="14" customHeight="1" thickBot="1" x14ac:dyDescent="0.2">
      <c r="A32" s="1535"/>
      <c r="B32" s="1550"/>
      <c r="C32" s="1230" t="str">
        <f>C15</f>
        <v>decile 5</v>
      </c>
      <c r="D32" s="661">
        <f>D15</f>
        <v>400.42044955474518</v>
      </c>
      <c r="E32" s="1391">
        <v>0.22500000000000001</v>
      </c>
      <c r="F32" s="1392">
        <f t="shared" si="12"/>
        <v>90.094601149817663</v>
      </c>
      <c r="G32" s="1337" t="s">
        <v>654</v>
      </c>
      <c r="H32" s="1236"/>
      <c r="I32" s="1236"/>
      <c r="J32" s="1236"/>
      <c r="K32" s="1236"/>
      <c r="L32" s="1236"/>
      <c r="M32" s="1236"/>
      <c r="N32" s="1236"/>
      <c r="O32" s="1236"/>
      <c r="P32" s="1236"/>
      <c r="Q32" s="1237"/>
      <c r="R32" s="1237"/>
      <c r="S32" s="1378" t="str">
        <f>IF(S27=0,"No",IF(S28=0,"No",IF(S28&lt;F32,"Yes","No")))</f>
        <v>No</v>
      </c>
      <c r="T32" s="1378" t="str">
        <f>IF(T27=0,"No",IF(T28=0,"No",IF(T28&lt;F32,"Yes","No")))</f>
        <v>No</v>
      </c>
      <c r="U32" s="1378" t="str">
        <f>IF(U27=0,"No",IF(U28=0,"No",IF(U28&lt;F32,"Yes","No")))</f>
        <v>No</v>
      </c>
      <c r="V32" s="1379" t="str">
        <f>IF(V27=0,"No",IF(V28=0,"No",IF(V28&lt;F32,"Yes","No")))</f>
        <v>No</v>
      </c>
      <c r="W32" s="1378" t="str">
        <f>IF(W27=0,"No",IF(W28=0,"No",IF(W28&lt;F32,"Yes","No")))</f>
        <v>No</v>
      </c>
      <c r="X32" s="1378" t="str">
        <f>IF(X27=0,"No",IF(X28=0,"No",IF(X28&lt;F32,"Yes","No")))</f>
        <v>No</v>
      </c>
      <c r="Y32" s="1238" t="str">
        <f t="shared" si="13"/>
        <v>No</v>
      </c>
      <c r="Z32" s="1239" t="str">
        <f t="shared" si="14"/>
        <v>decile 5</v>
      </c>
      <c r="AA32" s="398"/>
      <c r="AB32" s="1390">
        <f t="shared" si="15"/>
        <v>0</v>
      </c>
      <c r="AC32" s="1390">
        <f t="shared" si="15"/>
        <v>0</v>
      </c>
      <c r="AD32" s="1390">
        <f t="shared" si="15"/>
        <v>0</v>
      </c>
      <c r="AE32" s="1390">
        <f t="shared" si="15"/>
        <v>0</v>
      </c>
      <c r="AF32" s="1390">
        <f t="shared" si="15"/>
        <v>0</v>
      </c>
      <c r="AG32" s="1390">
        <f t="shared" si="15"/>
        <v>0</v>
      </c>
    </row>
    <row r="33" spans="1:33" ht="14" customHeight="1" x14ac:dyDescent="0.15">
      <c r="A33" s="1544" t="s">
        <v>277</v>
      </c>
      <c r="B33" s="1548" t="s">
        <v>540</v>
      </c>
      <c r="C33" s="1125" t="s">
        <v>272</v>
      </c>
      <c r="D33" s="845">
        <v>400</v>
      </c>
      <c r="E33" s="1393">
        <v>0.19999999999999998</v>
      </c>
      <c r="F33" s="659">
        <f t="shared" ref="F33:F36" si="16">E33*D33</f>
        <v>80</v>
      </c>
      <c r="G33" s="1401" t="s">
        <v>654</v>
      </c>
      <c r="H33" s="1244"/>
      <c r="I33" s="1244"/>
      <c r="J33" s="1244"/>
      <c r="K33" s="1244"/>
      <c r="L33" s="1244"/>
      <c r="M33" s="1244"/>
      <c r="N33" s="1244"/>
      <c r="O33" s="1244"/>
      <c r="P33" s="1244"/>
      <c r="Q33" s="363"/>
      <c r="R33" s="363"/>
      <c r="S33" s="1376" t="str">
        <f>IF(S27=0,"No",IF(S28=0,"No",IF(S28&lt;F33,"Yes","No")))</f>
        <v>No</v>
      </c>
      <c r="T33" s="1376" t="str">
        <f>IF(T27=0,"No",IF(T28=0,"No",IF(T28&lt;F33,"Yes","No")))</f>
        <v>No</v>
      </c>
      <c r="U33" s="1376" t="str">
        <f>IF(U27=0,"No",IF(U28=0,"No",IF(U28&lt;F33,"Yes","No")))</f>
        <v>No</v>
      </c>
      <c r="V33" s="1383" t="str">
        <f>IF(V27=0,"No",IF(V28=0,"No",IF(V28&lt;F33,"Yes","No")))</f>
        <v>No</v>
      </c>
      <c r="W33" s="1376" t="str">
        <f>IF(W27=0,"No",IF(W28=0,"No",IF(W28&lt;F33,"Yes","No")))</f>
        <v>No</v>
      </c>
      <c r="X33" s="1376" t="str">
        <f>IF(X27=0,"No",IF(X28=0,"No",IF(X28&lt;F33,"Yes","No")))</f>
        <v>No</v>
      </c>
      <c r="Y33" s="1399" t="str">
        <f t="shared" ref="Y33:Y36" si="17">IF(COUNTIF(S33:X33,"Yes")&gt;0,"Yes","No")</f>
        <v>No</v>
      </c>
      <c r="Z33" s="1400" t="str">
        <f t="shared" ref="Z33:Z36" si="18">C33</f>
        <v>decile 4</v>
      </c>
      <c r="AA33" s="398"/>
      <c r="AB33" s="1390">
        <f t="shared" si="15"/>
        <v>0</v>
      </c>
      <c r="AC33" s="1390">
        <f t="shared" si="15"/>
        <v>0</v>
      </c>
      <c r="AD33" s="1390">
        <f t="shared" si="15"/>
        <v>0</v>
      </c>
      <c r="AE33" s="1390">
        <f t="shared" si="15"/>
        <v>0</v>
      </c>
      <c r="AF33" s="1390">
        <f t="shared" si="15"/>
        <v>0</v>
      </c>
      <c r="AG33" s="1390">
        <f t="shared" si="15"/>
        <v>0</v>
      </c>
    </row>
    <row r="34" spans="1:33" ht="14" customHeight="1" x14ac:dyDescent="0.15">
      <c r="A34" s="1544"/>
      <c r="B34" s="1549"/>
      <c r="C34" s="1232" t="s">
        <v>273</v>
      </c>
      <c r="D34" s="660">
        <v>300</v>
      </c>
      <c r="E34" s="1395">
        <v>0.17499999999999999</v>
      </c>
      <c r="F34" s="1396">
        <f t="shared" si="16"/>
        <v>52.5</v>
      </c>
      <c r="G34" s="1402" t="s">
        <v>654</v>
      </c>
      <c r="H34" s="1240"/>
      <c r="I34" s="1240"/>
      <c r="J34" s="1240"/>
      <c r="K34" s="1240"/>
      <c r="L34" s="1240"/>
      <c r="M34" s="1240"/>
      <c r="N34" s="1240"/>
      <c r="O34" s="1240"/>
      <c r="P34" s="1240"/>
      <c r="Q34" s="1241"/>
      <c r="R34" s="1241"/>
      <c r="S34" s="1381" t="str">
        <f>IF(S27=0,"No",IF(S28=0,"No",IF(S28&lt;F34,"Yes","No")))</f>
        <v>No</v>
      </c>
      <c r="T34" s="1381" t="str">
        <f>IF(T27=0,"No",IF(T28=0,"No",IF(T28&lt;F34,"Yes","No")))</f>
        <v>No</v>
      </c>
      <c r="U34" s="1381" t="str">
        <f>IF(U27=0,"No",IF(U28=0,"No",IF(U28&lt;F34,"Yes","No")))</f>
        <v>No</v>
      </c>
      <c r="V34" s="1382" t="str">
        <f>IF(V27=0,"No",IF(V28=0,"No",IF(V28&lt;F34,"Yes","No")))</f>
        <v>No</v>
      </c>
      <c r="W34" s="1381" t="str">
        <f>IF(W27=0,"No",IF(W28=0,"No",IF(W28&lt;F34,"Yes","No")))</f>
        <v>No</v>
      </c>
      <c r="X34" s="1381" t="str">
        <f>IF(X27=0,"No",IF(X28=0,"No",IF(X28&lt;F34,"Yes","No")))</f>
        <v>No</v>
      </c>
      <c r="Y34" s="1242" t="str">
        <f t="shared" si="17"/>
        <v>No</v>
      </c>
      <c r="Z34" s="1243" t="str">
        <f t="shared" si="18"/>
        <v>decile 3</v>
      </c>
      <c r="AA34" s="398"/>
      <c r="AB34" s="1390">
        <f t="shared" si="15"/>
        <v>0</v>
      </c>
      <c r="AC34" s="1390">
        <f t="shared" si="15"/>
        <v>0</v>
      </c>
      <c r="AD34" s="1390">
        <f t="shared" si="15"/>
        <v>0</v>
      </c>
      <c r="AE34" s="1390">
        <f t="shared" si="15"/>
        <v>0</v>
      </c>
      <c r="AF34" s="1390">
        <f t="shared" si="15"/>
        <v>0</v>
      </c>
      <c r="AG34" s="1390">
        <f t="shared" si="15"/>
        <v>0</v>
      </c>
    </row>
    <row r="35" spans="1:33" ht="14" customHeight="1" x14ac:dyDescent="0.15">
      <c r="A35" s="1544"/>
      <c r="B35" s="1548" t="s">
        <v>541</v>
      </c>
      <c r="C35" s="1125" t="s">
        <v>274</v>
      </c>
      <c r="D35" s="845">
        <v>250</v>
      </c>
      <c r="E35" s="1393">
        <v>0.15</v>
      </c>
      <c r="F35" s="659">
        <f t="shared" si="16"/>
        <v>37.5</v>
      </c>
      <c r="G35" s="1401" t="s">
        <v>654</v>
      </c>
      <c r="H35" s="1244"/>
      <c r="I35" s="1244"/>
      <c r="J35" s="1244"/>
      <c r="K35" s="1244"/>
      <c r="L35" s="1244"/>
      <c r="M35" s="1244"/>
      <c r="N35" s="1244"/>
      <c r="O35" s="1244"/>
      <c r="P35" s="1244"/>
      <c r="Q35" s="363"/>
      <c r="R35" s="363"/>
      <c r="S35" s="1403" t="str">
        <f>IF(S27=0,"No",IF(S28=0,"No",IF(S28&lt;F35,"Yes","No")))</f>
        <v>No</v>
      </c>
      <c r="T35" s="1403" t="str">
        <f>IF(T27=0,"No",IF(T28=0,"No",IF(T28&lt;F35,"Yes","No")))</f>
        <v>No</v>
      </c>
      <c r="U35" s="1403" t="str">
        <f>IF(U27=0,"No",IF(U28=0,"No",IF(U28&lt;F35,"Yes","No")))</f>
        <v>No</v>
      </c>
      <c r="V35" s="1383" t="str">
        <f>IF(V27=0,"No",IF(V28=0,"No",IF(V28&lt;F35,"Yes","No")))</f>
        <v>No</v>
      </c>
      <c r="W35" s="1403" t="str">
        <f>IF(W27=0,"No",IF(W28=0,"No",IF(W28&lt;F35,"Yes","No")))</f>
        <v>No</v>
      </c>
      <c r="X35" s="1403" t="str">
        <f>IF(X27=0,"No",IF(X28=0,"No",IF(X28&lt;F35,"Yes","No")))</f>
        <v>No</v>
      </c>
      <c r="Y35" s="1399" t="str">
        <f t="shared" si="17"/>
        <v>No</v>
      </c>
      <c r="Z35" s="1400" t="str">
        <f t="shared" si="18"/>
        <v>decile 2</v>
      </c>
      <c r="AA35" s="398"/>
      <c r="AB35" s="1390">
        <f t="shared" si="15"/>
        <v>0</v>
      </c>
      <c r="AC35" s="1390">
        <f t="shared" si="15"/>
        <v>0</v>
      </c>
      <c r="AD35" s="1390">
        <f t="shared" si="15"/>
        <v>0</v>
      </c>
      <c r="AE35" s="1390">
        <f t="shared" si="15"/>
        <v>0</v>
      </c>
      <c r="AF35" s="1390">
        <f t="shared" si="15"/>
        <v>0</v>
      </c>
      <c r="AG35" s="1390">
        <f t="shared" si="15"/>
        <v>0</v>
      </c>
    </row>
    <row r="36" spans="1:33" ht="14" customHeight="1" thickBot="1" x14ac:dyDescent="0.2">
      <c r="A36" s="1545"/>
      <c r="B36" s="1550"/>
      <c r="C36" s="1230" t="s">
        <v>275</v>
      </c>
      <c r="D36" s="661">
        <v>200</v>
      </c>
      <c r="E36" s="1391">
        <v>0.125</v>
      </c>
      <c r="F36" s="1404">
        <f t="shared" si="16"/>
        <v>25</v>
      </c>
      <c r="G36" s="1337" t="s">
        <v>654</v>
      </c>
      <c r="H36" s="1236"/>
      <c r="I36" s="1236"/>
      <c r="J36" s="1236"/>
      <c r="K36" s="1236"/>
      <c r="L36" s="1236"/>
      <c r="M36" s="1236"/>
      <c r="N36" s="1236"/>
      <c r="O36" s="1236"/>
      <c r="P36" s="1236"/>
      <c r="Q36" s="1237"/>
      <c r="R36" s="1237"/>
      <c r="S36" s="1378" t="str">
        <f>IF(S27=0,"No",IF(S28=0,"No",IF(S28&lt;F36,"Yes","No")))</f>
        <v>No</v>
      </c>
      <c r="T36" s="1378" t="str">
        <f>IF(T27=0,"No",IF(T28=0,"No",IF(T28&lt;F36,"Yes","No")))</f>
        <v>No</v>
      </c>
      <c r="U36" s="1378" t="str">
        <f>IF(U27=0,"No",IF(U28=0,"No",IF(U28&lt;F36,"Yes","No")))</f>
        <v>No</v>
      </c>
      <c r="V36" s="1379" t="str">
        <f>IF(V27=0,"No",IF(V28=0,"No",IF(V28&lt;F36,"Yes","No")))</f>
        <v>No</v>
      </c>
      <c r="W36" s="1378" t="str">
        <f>IF(W27=0,"No",IF(W28=0,"No",IF(W28&lt;F36,"Yes","No")))</f>
        <v>No</v>
      </c>
      <c r="X36" s="1378" t="str">
        <f>IF(X27=0,"No",IF(X28=0,"No",IF(X28&lt;F36,"Yes","No")))</f>
        <v>No</v>
      </c>
      <c r="Y36" s="1238" t="str">
        <f t="shared" si="17"/>
        <v>No</v>
      </c>
      <c r="Z36" s="1239" t="str">
        <f t="shared" si="18"/>
        <v>decile 1</v>
      </c>
      <c r="AA36" s="398"/>
      <c r="AB36" s="1390">
        <f t="shared" si="15"/>
        <v>0</v>
      </c>
      <c r="AC36" s="1390">
        <f t="shared" si="15"/>
        <v>0</v>
      </c>
      <c r="AD36" s="1390">
        <f t="shared" si="15"/>
        <v>0</v>
      </c>
      <c r="AE36" s="1390">
        <f t="shared" si="15"/>
        <v>0</v>
      </c>
      <c r="AF36" s="1390">
        <f t="shared" si="15"/>
        <v>0</v>
      </c>
      <c r="AG36" s="1390">
        <f t="shared" si="15"/>
        <v>0</v>
      </c>
    </row>
    <row r="37" spans="1:33" ht="14" customHeight="1" thickBot="1" x14ac:dyDescent="0.2">
      <c r="AB37" s="905"/>
      <c r="AC37" s="905"/>
      <c r="AD37" s="905"/>
      <c r="AE37" s="905"/>
      <c r="AF37" s="905"/>
      <c r="AG37" s="905"/>
    </row>
    <row r="38" spans="1:33" ht="14" customHeight="1" thickBot="1" x14ac:dyDescent="0.2">
      <c r="A38" s="1536" t="s">
        <v>548</v>
      </c>
      <c r="B38" s="1536"/>
      <c r="C38" s="1536"/>
      <c r="D38" s="1536"/>
      <c r="E38" s="1536"/>
      <c r="F38" s="1537" t="s">
        <v>281</v>
      </c>
      <c r="G38" s="1538"/>
      <c r="H38" s="1234"/>
      <c r="I38" s="1234"/>
      <c r="J38" s="1234"/>
      <c r="K38" s="1234"/>
      <c r="L38" s="1234"/>
      <c r="M38" s="1234"/>
      <c r="N38" s="1234"/>
      <c r="O38" s="1234"/>
      <c r="P38" s="1234"/>
      <c r="Q38" s="1235"/>
      <c r="R38" s="1235"/>
      <c r="S38" s="847" t="str">
        <f>IF(AB38=0.4,"n/a",AB38)</f>
        <v>n/a</v>
      </c>
      <c r="T38" s="847" t="str">
        <f t="shared" ref="T38:X38" si="19">IF(AC38=0.4,"n/a",AC38)</f>
        <v>n/a</v>
      </c>
      <c r="U38" s="847" t="str">
        <f t="shared" si="19"/>
        <v>n/a</v>
      </c>
      <c r="V38" s="902" t="str">
        <f t="shared" si="19"/>
        <v>n/a</v>
      </c>
      <c r="W38" s="847" t="str">
        <f t="shared" si="19"/>
        <v>n/a</v>
      </c>
      <c r="X38" s="847" t="str">
        <f t="shared" si="19"/>
        <v>n/a</v>
      </c>
      <c r="Y38" s="1530">
        <f>MAX(S38:X38)</f>
        <v>0</v>
      </c>
      <c r="Z38" s="1531"/>
      <c r="AB38" s="1390">
        <f>SUM(AB31:AB36)+0.4</f>
        <v>0.4</v>
      </c>
      <c r="AC38" s="1390">
        <f t="shared" ref="AC38:AG38" si="20">SUM(AC31:AC36)+0.4</f>
        <v>0.4</v>
      </c>
      <c r="AD38" s="1390">
        <f t="shared" si="20"/>
        <v>0.4</v>
      </c>
      <c r="AE38" s="1390">
        <f t="shared" si="20"/>
        <v>0.4</v>
      </c>
      <c r="AF38" s="1390">
        <f t="shared" si="20"/>
        <v>0.4</v>
      </c>
      <c r="AG38" s="1390">
        <f t="shared" si="20"/>
        <v>0.4</v>
      </c>
    </row>
    <row r="39" spans="1:33" ht="14" customHeight="1" thickBot="1" x14ac:dyDescent="0.2">
      <c r="A39" s="1536"/>
      <c r="B39" s="1536"/>
      <c r="C39" s="1536"/>
      <c r="D39" s="1536"/>
      <c r="E39" s="1536"/>
      <c r="F39" s="1539" t="s">
        <v>282</v>
      </c>
      <c r="G39" s="1540"/>
      <c r="H39" s="1234"/>
      <c r="I39" s="1234"/>
      <c r="J39" s="1234"/>
      <c r="K39" s="1234"/>
      <c r="L39" s="1234"/>
      <c r="M39" s="1234"/>
      <c r="N39" s="1234"/>
      <c r="O39" s="1234"/>
      <c r="P39" s="1234"/>
      <c r="Q39" s="1235"/>
      <c r="R39" s="1235"/>
      <c r="S39" s="848" t="str">
        <f t="shared" ref="S39:X39" si="21">IF(AB39=0.6,"n/a",AB39)</f>
        <v>n/a</v>
      </c>
      <c r="T39" s="848" t="str">
        <f t="shared" si="21"/>
        <v>n/a</v>
      </c>
      <c r="U39" s="848" t="str">
        <f t="shared" si="21"/>
        <v>n/a</v>
      </c>
      <c r="V39" s="903" t="str">
        <f t="shared" si="21"/>
        <v>n/a</v>
      </c>
      <c r="W39" s="848" t="str">
        <f t="shared" si="21"/>
        <v>n/a</v>
      </c>
      <c r="X39" s="848" t="str">
        <f t="shared" si="21"/>
        <v>n/a</v>
      </c>
      <c r="Y39" s="1532">
        <f>1-Y38</f>
        <v>1</v>
      </c>
      <c r="Z39" s="1533"/>
      <c r="AB39" s="1390">
        <f>1-AB38</f>
        <v>0.6</v>
      </c>
      <c r="AC39" s="1390">
        <f t="shared" ref="AC39:AG39" si="22">1-AC38</f>
        <v>0.6</v>
      </c>
      <c r="AD39" s="1390">
        <f t="shared" si="22"/>
        <v>0.6</v>
      </c>
      <c r="AE39" s="1390">
        <f t="shared" si="22"/>
        <v>0.6</v>
      </c>
      <c r="AF39" s="1390">
        <f t="shared" si="22"/>
        <v>0.6</v>
      </c>
      <c r="AG39" s="1390">
        <f t="shared" si="22"/>
        <v>0.6</v>
      </c>
    </row>
    <row r="41" spans="1:33" ht="14" customHeight="1" x14ac:dyDescent="0.15">
      <c r="A41" s="333" t="s">
        <v>559</v>
      </c>
    </row>
    <row r="42" spans="1:33" ht="14" customHeight="1" x14ac:dyDescent="0.15">
      <c r="H42" s="110"/>
      <c r="I42" s="110"/>
      <c r="J42" s="110"/>
      <c r="K42" s="110"/>
      <c r="L42" s="110"/>
      <c r="M42" s="110"/>
      <c r="N42" s="110"/>
      <c r="O42" s="110"/>
      <c r="P42" s="110"/>
      <c r="Q42" s="110"/>
      <c r="R42" s="110"/>
      <c r="S42" s="110"/>
      <c r="T42" s="110"/>
      <c r="U42" s="110"/>
      <c r="V42" s="110"/>
      <c r="W42" s="110"/>
      <c r="X42" s="110"/>
    </row>
    <row r="43" spans="1:33" ht="14" customHeight="1" x14ac:dyDescent="0.15">
      <c r="A43" s="30"/>
      <c r="H43" s="110"/>
      <c r="I43" s="110"/>
      <c r="J43" s="110"/>
      <c r="K43" s="110"/>
      <c r="L43" s="110"/>
      <c r="M43" s="110"/>
      <c r="N43" s="110"/>
      <c r="O43" s="110"/>
      <c r="P43" s="110"/>
      <c r="Q43" s="110"/>
      <c r="R43" s="110"/>
      <c r="S43" s="110"/>
      <c r="T43" s="110"/>
      <c r="U43" s="110"/>
      <c r="V43" s="110"/>
      <c r="W43" s="110"/>
      <c r="X43" s="110"/>
    </row>
  </sheetData>
  <sheetProtection selectLockedCells="1"/>
  <mergeCells count="30">
    <mergeCell ref="S9:X9"/>
    <mergeCell ref="E9:F9"/>
    <mergeCell ref="A21:E22"/>
    <mergeCell ref="F21:G21"/>
    <mergeCell ref="F22:G22"/>
    <mergeCell ref="A16:A19"/>
    <mergeCell ref="B16:B17"/>
    <mergeCell ref="B18:B19"/>
    <mergeCell ref="A3:G3"/>
    <mergeCell ref="B12:B13"/>
    <mergeCell ref="B14:B15"/>
    <mergeCell ref="A12:A15"/>
    <mergeCell ref="B10:B11"/>
    <mergeCell ref="A10:A11"/>
    <mergeCell ref="Y21:Z21"/>
    <mergeCell ref="Y22:Z22"/>
    <mergeCell ref="Y38:Z38"/>
    <mergeCell ref="Y39:Z39"/>
    <mergeCell ref="A31:A32"/>
    <mergeCell ref="A38:E39"/>
    <mergeCell ref="F38:G38"/>
    <mergeCell ref="F39:G39"/>
    <mergeCell ref="A26:G26"/>
    <mergeCell ref="K26:L26"/>
    <mergeCell ref="A33:A36"/>
    <mergeCell ref="E30:F30"/>
    <mergeCell ref="S30:X30"/>
    <mergeCell ref="B33:B34"/>
    <mergeCell ref="B35:B36"/>
    <mergeCell ref="B31:B32"/>
  </mergeCells>
  <phoneticPr fontId="46" type="noConversion"/>
  <conditionalFormatting sqref="S10:X19">
    <cfRule type="cellIs" dxfId="3" priority="5" stopIfTrue="1" operator="equal">
      <formula>"Yes"</formula>
    </cfRule>
    <cfRule type="cellIs" dxfId="2" priority="6" operator="equal">
      <formula>"No"</formula>
    </cfRule>
  </conditionalFormatting>
  <conditionalFormatting sqref="S31:X36">
    <cfRule type="cellIs" dxfId="1" priority="1" stopIfTrue="1" operator="equal">
      <formula>"Yes"</formula>
    </cfRule>
    <cfRule type="cellIs" dxfId="0" priority="2" operator="equal">
      <formula>"No"</formula>
    </cfRule>
  </conditionalFormatting>
  <pageMargins left="0.7" right="0.7" top="0.75" bottom="0.75" header="0.3" footer="0.3"/>
  <pageSetup paperSize="9" scale="82" fitToHeight="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D7369-F64B-5642-A63E-292250E54520}">
  <sheetPr>
    <tabColor theme="6" tint="-0.499984740745262"/>
    <pageSetUpPr fitToPage="1"/>
  </sheetPr>
  <dimension ref="A1:T14"/>
  <sheetViews>
    <sheetView zoomScale="200" zoomScaleNormal="200" workbookViewId="0">
      <selection activeCell="B43" sqref="B43"/>
    </sheetView>
  </sheetViews>
  <sheetFormatPr baseColWidth="10" defaultColWidth="10.6640625" defaultRowHeight="14" customHeight="1" x14ac:dyDescent="0.15"/>
  <cols>
    <col min="1" max="1" width="45" style="110" customWidth="1"/>
    <col min="2" max="10" width="9.33203125" style="108" customWidth="1"/>
    <col min="11" max="16" width="9.33203125" style="109" customWidth="1"/>
    <col min="18" max="18" width="9.33203125" style="109" customWidth="1"/>
    <col min="19" max="20" width="16.6640625" style="109" customWidth="1"/>
    <col min="21" max="16384" width="10.6640625" style="109"/>
  </cols>
  <sheetData>
    <row r="1" spans="1:20" s="107" customFormat="1" ht="14" customHeight="1" x14ac:dyDescent="0.15">
      <c r="A1" s="105" t="s">
        <v>378</v>
      </c>
      <c r="B1" s="106"/>
      <c r="C1" s="106"/>
      <c r="D1" s="106"/>
      <c r="E1" s="106"/>
      <c r="F1" s="106"/>
      <c r="G1" s="106"/>
      <c r="H1" s="106"/>
      <c r="I1" s="106"/>
      <c r="J1" s="106"/>
    </row>
    <row r="2" spans="1:20" ht="51" customHeight="1" thickBot="1" x14ac:dyDescent="0.2">
      <c r="A2" s="471" t="s">
        <v>379</v>
      </c>
      <c r="B2" s="403" t="s">
        <v>143</v>
      </c>
      <c r="C2" s="404" t="s">
        <v>144</v>
      </c>
      <c r="D2" s="405" t="s">
        <v>145</v>
      </c>
      <c r="E2" s="935" t="s">
        <v>146</v>
      </c>
      <c r="F2" s="935" t="s">
        <v>628</v>
      </c>
      <c r="G2" s="470" t="s">
        <v>630</v>
      </c>
      <c r="H2" s="406" t="s">
        <v>147</v>
      </c>
      <c r="I2" s="407" t="s">
        <v>148</v>
      </c>
      <c r="J2" s="408" t="s">
        <v>16</v>
      </c>
      <c r="K2" s="408" t="s">
        <v>627</v>
      </c>
      <c r="L2" s="470" t="s">
        <v>631</v>
      </c>
      <c r="M2" s="409" t="s">
        <v>625</v>
      </c>
      <c r="N2" s="410" t="s">
        <v>475</v>
      </c>
      <c r="O2" s="410" t="s">
        <v>626</v>
      </c>
      <c r="P2" s="508" t="s">
        <v>629</v>
      </c>
      <c r="Q2" s="411" t="s">
        <v>623</v>
      </c>
      <c r="R2" s="1411" t="s">
        <v>624</v>
      </c>
      <c r="S2" s="1461" t="s">
        <v>79</v>
      </c>
      <c r="T2" s="1462"/>
    </row>
    <row r="3" spans="1:20" ht="14" customHeight="1" x14ac:dyDescent="0.15">
      <c r="A3" s="485" t="s">
        <v>373</v>
      </c>
      <c r="B3" s="487">
        <f>'5dwellings'!B20</f>
        <v>0</v>
      </c>
      <c r="C3" s="488">
        <f>'5dwellings'!C20</f>
        <v>0</v>
      </c>
      <c r="D3" s="488">
        <f>'5dwellings'!D20</f>
        <v>0</v>
      </c>
      <c r="E3" s="488">
        <f>'5dwellings'!E20</f>
        <v>0</v>
      </c>
      <c r="F3" s="489">
        <f>'5dwellings'!F20</f>
        <v>0</v>
      </c>
      <c r="G3" s="490">
        <f>'5dwellings'!G20</f>
        <v>0</v>
      </c>
      <c r="H3" s="487">
        <f>'5dwellings'!H20</f>
        <v>0</v>
      </c>
      <c r="I3" s="488">
        <f>'5dwellings'!I20</f>
        <v>0</v>
      </c>
      <c r="J3" s="488">
        <f>'5dwellings'!J20</f>
        <v>0</v>
      </c>
      <c r="K3" s="489">
        <f>'5dwellings'!K20</f>
        <v>0</v>
      </c>
      <c r="L3" s="490">
        <f>'5dwellings'!L20</f>
        <v>0</v>
      </c>
      <c r="M3" s="491">
        <f>'5dwellings'!M20</f>
        <v>12</v>
      </c>
      <c r="N3" s="492">
        <f>'5dwellings'!N20</f>
        <v>1</v>
      </c>
      <c r="O3" s="492">
        <f>'5dwellings'!O20</f>
        <v>1</v>
      </c>
      <c r="P3" s="492">
        <f>'5dwellings'!P20</f>
        <v>1</v>
      </c>
      <c r="Q3" s="492">
        <f>'5dwellings'!Q20</f>
        <v>1</v>
      </c>
      <c r="R3" s="493">
        <f>'5dwellings'!R20</f>
        <v>1</v>
      </c>
      <c r="S3" s="1266"/>
      <c r="T3" s="1267"/>
    </row>
    <row r="4" spans="1:20" ht="14" customHeight="1" x14ac:dyDescent="0.15">
      <c r="A4" s="485" t="s">
        <v>288</v>
      </c>
      <c r="B4" s="494">
        <v>0</v>
      </c>
      <c r="C4" s="494">
        <v>0</v>
      </c>
      <c r="D4" s="494">
        <v>0</v>
      </c>
      <c r="E4" s="494">
        <v>28</v>
      </c>
      <c r="F4" s="494">
        <v>28</v>
      </c>
      <c r="G4" s="495">
        <v>0</v>
      </c>
      <c r="H4" s="494">
        <v>0</v>
      </c>
      <c r="I4" s="494">
        <v>0</v>
      </c>
      <c r="J4" s="494">
        <v>12</v>
      </c>
      <c r="K4" s="494">
        <v>12</v>
      </c>
      <c r="L4" s="495">
        <v>0</v>
      </c>
      <c r="M4" s="496">
        <v>12</v>
      </c>
      <c r="N4" s="497">
        <v>3</v>
      </c>
      <c r="O4" s="497">
        <v>4.5</v>
      </c>
      <c r="P4" s="497">
        <v>3</v>
      </c>
      <c r="Q4" s="497">
        <v>3</v>
      </c>
      <c r="R4" s="498">
        <v>3</v>
      </c>
      <c r="S4" s="1266" t="s">
        <v>693</v>
      </c>
      <c r="T4" s="1266" t="s">
        <v>694</v>
      </c>
    </row>
    <row r="5" spans="1:20" ht="14" customHeight="1" x14ac:dyDescent="0.15">
      <c r="A5" s="485" t="s">
        <v>289</v>
      </c>
      <c r="B5" s="191">
        <f>B3*'4buildings'!B10</f>
        <v>0</v>
      </c>
      <c r="C5" s="191">
        <f>C3*'4buildings'!C10</f>
        <v>0</v>
      </c>
      <c r="D5" s="191">
        <f>D3*'4buildings'!D10</f>
        <v>0</v>
      </c>
      <c r="E5" s="191">
        <f>E3*'4buildings'!E10</f>
        <v>0</v>
      </c>
      <c r="F5" s="191">
        <f>F3*'4buildings'!F10</f>
        <v>0</v>
      </c>
      <c r="G5" s="280">
        <f>G3*'4buildings'!G10</f>
        <v>0</v>
      </c>
      <c r="H5" s="191">
        <f>H3*'4buildings'!H10</f>
        <v>0</v>
      </c>
      <c r="I5" s="191">
        <f>I3*'4buildings'!I10</f>
        <v>0</v>
      </c>
      <c r="J5" s="191">
        <f>J3*'4buildings'!J10</f>
        <v>0</v>
      </c>
      <c r="K5" s="191">
        <f>K3*'4buildings'!K10</f>
        <v>0</v>
      </c>
      <c r="L5" s="280">
        <f>L3*'4buildings'!L10</f>
        <v>0</v>
      </c>
      <c r="M5" s="191">
        <f>M3*'4buildings'!M10</f>
        <v>0</v>
      </c>
      <c r="N5" s="191">
        <f>N3*'4buildings'!N10</f>
        <v>0</v>
      </c>
      <c r="O5" s="191">
        <f>O3*'4buildings'!O10</f>
        <v>0</v>
      </c>
      <c r="P5" s="284">
        <f>P3*'4buildings'!P10</f>
        <v>0</v>
      </c>
      <c r="Q5" s="284">
        <f>Q3*'4buildings'!Q10</f>
        <v>0</v>
      </c>
      <c r="R5" s="191">
        <f>R3*'4buildings'!R10</f>
        <v>0</v>
      </c>
      <c r="S5" s="1266">
        <f>SUM(B5:R5)</f>
        <v>0</v>
      </c>
      <c r="T5" s="1267"/>
    </row>
    <row r="6" spans="1:20" ht="14" customHeight="1" x14ac:dyDescent="0.15">
      <c r="A6" s="485" t="s">
        <v>290</v>
      </c>
      <c r="B6" s="191">
        <f>B4*'4buildings'!B10</f>
        <v>0</v>
      </c>
      <c r="C6" s="191">
        <f>C4*'4buildings'!C10</f>
        <v>0</v>
      </c>
      <c r="D6" s="191">
        <f>D4*'4buildings'!D10</f>
        <v>0</v>
      </c>
      <c r="E6" s="191">
        <f>E4*'4buildings'!E10</f>
        <v>0</v>
      </c>
      <c r="F6" s="191">
        <f>F4*'4buildings'!F10</f>
        <v>0</v>
      </c>
      <c r="G6" s="280">
        <f>G4*'4buildings'!G10</f>
        <v>0</v>
      </c>
      <c r="H6" s="191">
        <f>H4*'4buildings'!H10</f>
        <v>0</v>
      </c>
      <c r="I6" s="191">
        <f>I4*'4buildings'!I10</f>
        <v>0</v>
      </c>
      <c r="J6" s="191">
        <f>J4*'4buildings'!J10</f>
        <v>0</v>
      </c>
      <c r="K6" s="191">
        <f>K4*'4buildings'!K10</f>
        <v>0</v>
      </c>
      <c r="L6" s="280">
        <f>L4*'4buildings'!L10</f>
        <v>0</v>
      </c>
      <c r="M6" s="191">
        <f>M4*'4buildings'!M10</f>
        <v>0</v>
      </c>
      <c r="N6" s="191">
        <f>N4*'4buildings'!N10</f>
        <v>0</v>
      </c>
      <c r="O6" s="191">
        <f>O4*'4buildings'!O10</f>
        <v>0</v>
      </c>
      <c r="P6" s="284">
        <f>P4*'4buildings'!P10</f>
        <v>0</v>
      </c>
      <c r="Q6" s="284">
        <f>Q4*'4buildings'!Q10</f>
        <v>0</v>
      </c>
      <c r="R6" s="191">
        <f>R4*'4buildings'!R10</f>
        <v>0</v>
      </c>
      <c r="S6" s="1267"/>
      <c r="T6" s="1266">
        <f>SUM(B6:R6)</f>
        <v>0</v>
      </c>
    </row>
    <row r="7" spans="1:20" ht="14" customHeight="1" x14ac:dyDescent="0.15">
      <c r="A7" s="485" t="s">
        <v>374</v>
      </c>
      <c r="B7" s="192"/>
      <c r="C7" s="192"/>
      <c r="D7" s="192"/>
      <c r="E7" s="192"/>
      <c r="F7" s="192"/>
      <c r="H7" s="192"/>
      <c r="I7" s="192"/>
      <c r="J7" s="192"/>
      <c r="K7" s="191"/>
      <c r="L7" s="108"/>
      <c r="M7" s="191"/>
      <c r="N7" s="191"/>
      <c r="O7" s="191"/>
      <c r="P7" s="191"/>
      <c r="R7" s="191"/>
      <c r="S7" s="1268">
        <v>2.5</v>
      </c>
      <c r="T7" s="1268">
        <v>4</v>
      </c>
    </row>
    <row r="8" spans="1:20" ht="14" customHeight="1" x14ac:dyDescent="0.15">
      <c r="A8" s="485" t="s">
        <v>375</v>
      </c>
      <c r="B8" s="192"/>
      <c r="C8" s="192"/>
      <c r="D8" s="192"/>
      <c r="E8" s="192"/>
      <c r="F8" s="192"/>
      <c r="H8" s="192"/>
      <c r="I8" s="192"/>
      <c r="J8" s="192"/>
      <c r="K8" s="191"/>
      <c r="L8" s="108"/>
      <c r="M8" s="191"/>
      <c r="N8" s="191"/>
      <c r="O8" s="191"/>
      <c r="P8" s="191"/>
      <c r="R8" s="191"/>
      <c r="S8" s="1269">
        <f>S5*S7</f>
        <v>0</v>
      </c>
      <c r="T8" s="1269">
        <f>T6*T7</f>
        <v>0</v>
      </c>
    </row>
    <row r="9" spans="1:20" ht="14" customHeight="1" x14ac:dyDescent="0.15">
      <c r="A9" s="485" t="s">
        <v>376</v>
      </c>
      <c r="B9" s="192"/>
      <c r="C9" s="192"/>
      <c r="D9" s="192"/>
      <c r="E9" s="192"/>
      <c r="F9" s="192"/>
      <c r="H9" s="192"/>
      <c r="I9" s="192"/>
      <c r="J9" s="192"/>
      <c r="K9" s="191"/>
      <c r="L9" s="108"/>
      <c r="M9" s="191"/>
      <c r="N9" s="191"/>
      <c r="O9" s="191"/>
      <c r="P9" s="191"/>
      <c r="R9" s="907" t="s">
        <v>592</v>
      </c>
      <c r="S9" s="1270">
        <f>IF(Q!Q37=0,0,S8/Q!Q37*10000)</f>
        <v>0</v>
      </c>
      <c r="T9" s="1270">
        <f>IF(Q!Q37=0,0,T8/Q!Q37*10000)</f>
        <v>0</v>
      </c>
    </row>
    <row r="10" spans="1:20" ht="14" customHeight="1" thickBot="1" x14ac:dyDescent="0.2">
      <c r="A10" s="486" t="s">
        <v>377</v>
      </c>
      <c r="B10" s="482"/>
      <c r="C10" s="482"/>
      <c r="D10" s="482"/>
      <c r="E10" s="482"/>
      <c r="F10" s="482"/>
      <c r="G10" s="482"/>
      <c r="H10" s="482"/>
      <c r="I10" s="482"/>
      <c r="J10" s="482"/>
      <c r="K10" s="483"/>
      <c r="L10" s="483"/>
      <c r="M10" s="483"/>
      <c r="N10" s="483"/>
      <c r="O10" s="483"/>
      <c r="P10" s="483"/>
      <c r="Q10" s="484"/>
      <c r="R10" s="908" t="s">
        <v>695</v>
      </c>
      <c r="S10" s="1271">
        <f>IF(Q!O32=0,0,S8/Q!O32*10000)</f>
        <v>0</v>
      </c>
      <c r="T10" s="1271">
        <f>IF(Q!O32=0,0,T8/Q!O32*10000)</f>
        <v>0</v>
      </c>
    </row>
    <row r="11" spans="1:20" ht="14" customHeight="1" thickTop="1" x14ac:dyDescent="0.15"/>
    <row r="12" spans="1:20" ht="14" customHeight="1" x14ac:dyDescent="0.15">
      <c r="A12" s="53" t="s">
        <v>45</v>
      </c>
    </row>
    <row r="13" spans="1:20" s="108" customFormat="1" ht="14" customHeight="1" x14ac:dyDescent="0.15">
      <c r="A13" s="17"/>
      <c r="K13" s="109"/>
      <c r="L13" s="109"/>
      <c r="M13" s="109"/>
      <c r="N13" s="109"/>
      <c r="O13" s="109"/>
      <c r="P13" s="109"/>
      <c r="Q13"/>
      <c r="R13" s="109"/>
      <c r="S13" s="109"/>
      <c r="T13" s="109"/>
    </row>
    <row r="14" spans="1:20" s="108" customFormat="1" ht="14" customHeight="1" x14ac:dyDescent="0.15">
      <c r="A14" s="30"/>
      <c r="K14" s="109"/>
      <c r="L14" s="109"/>
      <c r="M14" s="109"/>
      <c r="N14" s="109"/>
      <c r="O14" s="109"/>
      <c r="P14" s="109"/>
      <c r="Q14"/>
      <c r="R14" s="109"/>
      <c r="S14" s="109"/>
      <c r="T14" s="109"/>
    </row>
  </sheetData>
  <mergeCells count="1">
    <mergeCell ref="S2:T2"/>
  </mergeCells>
  <pageMargins left="0.7" right="0.7" top="0.75" bottom="0.75" header="0.3" footer="0.3"/>
  <pageSetup paperSize="9" scale="82"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23</vt:i4>
      </vt:variant>
      <vt:variant>
        <vt:lpstr>Named Ranges</vt:lpstr>
      </vt:variant>
      <vt:variant>
        <vt:i4>12</vt:i4>
      </vt:variant>
    </vt:vector>
  </HeadingPairs>
  <TitlesOfParts>
    <vt:vector size="35" baseType="lpstr">
      <vt:lpstr>Guide</vt:lpstr>
      <vt:lpstr>Q</vt:lpstr>
      <vt:lpstr>1db</vt:lpstr>
      <vt:lpstr>2db</vt:lpstr>
      <vt:lpstr>3db</vt:lpstr>
      <vt:lpstr>4db</vt:lpstr>
      <vt:lpstr>5db</vt:lpstr>
      <vt:lpstr>6db</vt:lpstr>
      <vt:lpstr>spider</vt:lpstr>
      <vt:lpstr>Q_zeroed</vt:lpstr>
      <vt:lpstr>1off-site</vt:lpstr>
      <vt:lpstr>1site</vt:lpstr>
      <vt:lpstr>2neighborhood</vt:lpstr>
      <vt:lpstr>3cluster_artery</vt:lpstr>
      <vt:lpstr>3cluster_secondary</vt:lpstr>
      <vt:lpstr>3lcluster_local</vt:lpstr>
      <vt:lpstr>3lcluster_local_2level</vt:lpstr>
      <vt:lpstr>4buildings</vt:lpstr>
      <vt:lpstr>5dwellings</vt:lpstr>
      <vt:lpstr>5finance</vt:lpstr>
      <vt:lpstr>5rental</vt:lpstr>
      <vt:lpstr>5affordability</vt:lpstr>
      <vt:lpstr>6demographics</vt:lpstr>
      <vt:lpstr>'1site'!Print_Area</vt:lpstr>
      <vt:lpstr>'2neighborhood'!Print_Area</vt:lpstr>
      <vt:lpstr>'3cluster_artery'!Print_Area</vt:lpstr>
      <vt:lpstr>'3cluster_secondary'!Print_Area</vt:lpstr>
      <vt:lpstr>'3lcluster_local'!Print_Area</vt:lpstr>
      <vt:lpstr>'3lcluster_local_2level'!Print_Area</vt:lpstr>
      <vt:lpstr>'4buildings'!Print_Area</vt:lpstr>
      <vt:lpstr>'5affordability'!Print_Area</vt:lpstr>
      <vt:lpstr>'5dwellings'!Print_Area</vt:lpstr>
      <vt:lpstr>'5finance'!Print_Area</vt:lpstr>
      <vt:lpstr>'5rental'!Print_Area</vt:lpstr>
      <vt:lpstr>'6demographics'!Print_Area</vt:lpstr>
    </vt:vector>
  </TitlesOfParts>
  <Company>Rapid Urbanism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Nohn</dc:creator>
  <cp:lastModifiedBy>Matthias Nohn</cp:lastModifiedBy>
  <cp:lastPrinted>2020-11-05T09:45:54Z</cp:lastPrinted>
  <dcterms:created xsi:type="dcterms:W3CDTF">2015-05-13T05:40:45Z</dcterms:created>
  <dcterms:modified xsi:type="dcterms:W3CDTF">2023-11-05T12:28:22Z</dcterms:modified>
</cp:coreProperties>
</file>